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https://ardianet.sharepoint.com/sites/Group_D-SWQS-Porsche/Shared Documents/Realisierung/Dimensions/Serienentwicklung/27 E4Coupe/SV62_ECU - TTTech/Architektur/Review_doc/Runde2/Output/"/>
    </mc:Choice>
  </mc:AlternateContent>
  <xr:revisionPtr revIDLastSave="1329" documentId="11_2C7B796F7A09866EEEF4C4DF1B08B78A57522EEE" xr6:coauthVersionLast="47" xr6:coauthVersionMax="47" xr10:uidLastSave="{4AC6C3C1-FF74-4699-AD83-3596F6C692C9}"/>
  <bookViews>
    <workbookView xWindow="-120" yWindow="-120" windowWidth="29040" windowHeight="15720" firstSheet="1" activeTab="1" xr2:uid="{00000000-000D-0000-FFFF-FFFF00000000}"/>
  </bookViews>
  <sheets>
    <sheet name="Guide" sheetId="3" r:id="rId1"/>
    <sheet name="Titel" sheetId="2" r:id="rId2"/>
    <sheet name="Bewertung - Assessment" sheetId="1" r:id="rId3"/>
  </sheets>
  <definedNames>
    <definedName name="_xlnm._FilterDatabase" localSheetId="2" hidden="1">'Bewertung - Assessment'!$A$3:$R$158</definedName>
    <definedName name="ASSESSMENT_1">'Bewertung - Assessment'!$E$4:$E$166</definedName>
    <definedName name="ASSESSMENT_2">'Bewertung - Assessment'!$I$4:$I$166</definedName>
    <definedName name="ASSESSMENT_3">'Bewertung - Assessment'!$M$4:$M$166</definedName>
    <definedName name="_xlnm.Print_Area" localSheetId="2">'Bewertung - Assessment'!$B$1:$G$166</definedName>
    <definedName name="_xlnm.Print_Titles" localSheetId="2">'Bewertung - Assessment'!$3:$3</definedName>
    <definedName name="RISK_ASSESSMENT">'Bewertung - Assessment'!$Q$4:$Q$166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6" i="2" l="1"/>
  <c r="Q151" i="1" l="1"/>
  <c r="Q152" i="1"/>
  <c r="Q153" i="1"/>
  <c r="Q154" i="1"/>
  <c r="Q155" i="1"/>
  <c r="Q156" i="1"/>
  <c r="Q157" i="1"/>
  <c r="Q150" i="1"/>
  <c r="Q138" i="1"/>
  <c r="Q139" i="1"/>
  <c r="Q140" i="1"/>
  <c r="Q141" i="1"/>
  <c r="Q142" i="1"/>
  <c r="Q143" i="1"/>
  <c r="Q144" i="1"/>
  <c r="Q145" i="1"/>
  <c r="Q146" i="1"/>
  <c r="Q147" i="1"/>
  <c r="Q148" i="1"/>
  <c r="Q137" i="1"/>
  <c r="Q134" i="1"/>
  <c r="Q135" i="1"/>
  <c r="Q133" i="1"/>
  <c r="Q128" i="1"/>
  <c r="Q129" i="1"/>
  <c r="Q130" i="1"/>
  <c r="Q127" i="1"/>
  <c r="Q119" i="1"/>
  <c r="Q120" i="1"/>
  <c r="Q121" i="1"/>
  <c r="Q122" i="1"/>
  <c r="Q123" i="1"/>
  <c r="Q124" i="1"/>
  <c r="Q125" i="1"/>
  <c r="Q118" i="1"/>
  <c r="Q106" i="1"/>
  <c r="Q107" i="1"/>
  <c r="Q108" i="1"/>
  <c r="Q109" i="1"/>
  <c r="Q110" i="1"/>
  <c r="Q111" i="1"/>
  <c r="Q112" i="1"/>
  <c r="Q113" i="1"/>
  <c r="Q114" i="1"/>
  <c r="Q115" i="1"/>
  <c r="Q116" i="1"/>
  <c r="Q105" i="1"/>
  <c r="Q89" i="1"/>
  <c r="Q90" i="1"/>
  <c r="Q91" i="1"/>
  <c r="Q92" i="1"/>
  <c r="Q93" i="1"/>
  <c r="Q94" i="1"/>
  <c r="Q95" i="1"/>
  <c r="Q96" i="1"/>
  <c r="Q97" i="1"/>
  <c r="Q98" i="1"/>
  <c r="Q99" i="1"/>
  <c r="Q100" i="1"/>
  <c r="Q101" i="1"/>
  <c r="Q102" i="1"/>
  <c r="Q103" i="1"/>
  <c r="Q88" i="1"/>
  <c r="Q80" i="1"/>
  <c r="Q81" i="1"/>
  <c r="Q82" i="1"/>
  <c r="Q83" i="1"/>
  <c r="Q84" i="1"/>
  <c r="Q85" i="1"/>
  <c r="Q86" i="1"/>
  <c r="Q79" i="1"/>
  <c r="Q74" i="1"/>
  <c r="Q75" i="1"/>
  <c r="Q76" i="1"/>
  <c r="Q77" i="1"/>
  <c r="Q73" i="1"/>
  <c r="Q62" i="1"/>
  <c r="Q63" i="1"/>
  <c r="Q64" i="1"/>
  <c r="Q65" i="1"/>
  <c r="Q66" i="1"/>
  <c r="Q67" i="1"/>
  <c r="Q68" i="1"/>
  <c r="Q69" i="1"/>
  <c r="Q70" i="1"/>
  <c r="Q61" i="1"/>
  <c r="Q56" i="1"/>
  <c r="Q57" i="1"/>
  <c r="Q58" i="1"/>
  <c r="Q59" i="1"/>
  <c r="Q55" i="1"/>
  <c r="Q49" i="1"/>
  <c r="Q50" i="1"/>
  <c r="Q51" i="1"/>
  <c r="Q52" i="1"/>
  <c r="Q48" i="1"/>
  <c r="Q40" i="1"/>
  <c r="Q41" i="1"/>
  <c r="Q42" i="1"/>
  <c r="Q43" i="1"/>
  <c r="Q44" i="1"/>
  <c r="Q45" i="1"/>
  <c r="Q46" i="1"/>
  <c r="Q39" i="1"/>
  <c r="Q26" i="1"/>
  <c r="Q27" i="1"/>
  <c r="Q28" i="1"/>
  <c r="Q29" i="1"/>
  <c r="Q30" i="1"/>
  <c r="Q31" i="1"/>
  <c r="Q32" i="1"/>
  <c r="Q33" i="1"/>
  <c r="Q34" i="1"/>
  <c r="Q35" i="1"/>
  <c r="Q36" i="1"/>
  <c r="Q37" i="1"/>
  <c r="Q25" i="1"/>
  <c r="Q20" i="1"/>
  <c r="Q21" i="1"/>
  <c r="Q22" i="1"/>
  <c r="Q23" i="1"/>
  <c r="Q19" i="1"/>
  <c r="Q14" i="1"/>
  <c r="Q15" i="1"/>
  <c r="Q16" i="1"/>
  <c r="Q17" i="1"/>
  <c r="Q13" i="1"/>
  <c r="Q6" i="1"/>
  <c r="Q7" i="1"/>
  <c r="Q8" i="1"/>
  <c r="Q9" i="1"/>
  <c r="Q10" i="1"/>
  <c r="Q11" i="1"/>
  <c r="Q5" i="1"/>
  <c r="D36" i="2"/>
  <c r="K33" i="2"/>
  <c r="E69" i="2" l="1"/>
  <c r="D69" i="2"/>
  <c r="G69" i="2"/>
  <c r="F69" i="2"/>
  <c r="C69" i="2"/>
  <c r="G64" i="2"/>
  <c r="F64" i="2"/>
  <c r="E64" i="2"/>
  <c r="D64" i="2"/>
  <c r="C64" i="2"/>
  <c r="D37" i="2"/>
  <c r="D38" i="2"/>
  <c r="E36" i="2"/>
  <c r="H38" i="2"/>
  <c r="G38" i="2"/>
  <c r="F38" i="2"/>
  <c r="E38" i="2"/>
  <c r="C38" i="2"/>
  <c r="H37" i="2"/>
  <c r="G37" i="2"/>
  <c r="F37" i="2"/>
  <c r="E37" i="2"/>
  <c r="C37" i="2"/>
  <c r="H36" i="2"/>
  <c r="G36" i="2"/>
  <c r="F36" i="2"/>
  <c r="C3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tc={617E511B-73F3-4970-AAD9-40D8E9506AB9}</author>
  </authors>
  <commentList>
    <comment ref="C8" authorId="0" shapeId="0" xr:uid="{617E511B-73F3-4970-AAD9-40D8E9506AB9}">
      <text>
        <t>[Threaded comment]
Your version of Excel allows you to read this threaded comment; however, any edits to it will get removed if the file is opened in a newer version of Excel. Learn more: https://go.microsoft.com/fwlink/?linkid=870924
Comment:
    The Leitfaden docuement with version at the time of project start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Schmidt, Michael</author>
  </authors>
  <commentList>
    <comment ref="E3" authorId="0" shapeId="0" xr:uid="{00000000-0006-0000-0100-000001000000}">
      <text>
        <r>
          <rPr>
            <b/>
            <sz val="9"/>
            <color indexed="81"/>
            <rFont val="Tahoma"/>
            <family val="2"/>
          </rPr>
          <t xml:space="preserve">Bewertung Abweichung der Dokumentation ggü. Leitfaden / 
Assessment of Deviations with respect to Documentation Requirements in "Leitfaden"
0 = n/a
1 = ok
2 = geringe Abweichung / minor deviation
3 = mittlere Abweichung / moderate deviation
4 = große Abweichung oder nicht vorhanden / major deviation or missing
</t>
        </r>
      </text>
    </comment>
    <comment ref="F3" authorId="0" shapeId="0" xr:uid="{00000000-0006-0000-0100-000002000000}">
      <text>
        <r>
          <rPr>
            <b/>
            <sz val="9"/>
            <color indexed="81"/>
            <rFont val="Tahoma"/>
            <family val="2"/>
          </rPr>
          <t>Reference to 
documentation or requirements</t>
        </r>
      </text>
    </comment>
    <comment ref="I3" authorId="0" shapeId="0" xr:uid="{00000000-0006-0000-0100-000003000000}">
      <text>
        <r>
          <rPr>
            <b/>
            <sz val="9"/>
            <color indexed="81"/>
            <rFont val="Tahoma"/>
            <family val="2"/>
          </rPr>
          <t>0 = n/a
1 = ok
2 = geringe Abweichung / minor deviation
3 = mittlere Abweichung / moderate deviation
4 = große Abweichung oder nicht vorhanden / major deviation or missing</t>
        </r>
      </text>
    </comment>
    <comment ref="M3" authorId="0" shapeId="0" xr:uid="{00000000-0006-0000-0100-000004000000}">
      <text>
        <r>
          <rPr>
            <b/>
            <sz val="9"/>
            <color indexed="81"/>
            <rFont val="Tahoma"/>
            <family val="2"/>
          </rPr>
          <t>0 = n/a
1 = ok
2 = geringe Abweichung / minor deviation
3 = mittlere Abweichung / moderate deviation
4 = große Abweichung oder nicht vorhanden / major deviation or missing</t>
        </r>
      </text>
    </comment>
    <comment ref="Q3" authorId="0" shapeId="0" xr:uid="{00000000-0006-0000-0100-000005000000}">
      <text>
        <r>
          <rPr>
            <b/>
            <sz val="9"/>
            <color indexed="81"/>
            <rFont val="Tahoma"/>
            <family val="2"/>
          </rPr>
          <t>Bewertung des Risikos /
Risk Assessment
- = keine Risikobewertung / no risk assessment
0 = kein erkennbares Risiko / no risk indications
1 = niedriges Risko / low risk
2 = mittleres Risiko / moderate risk
3 = erhöhtes Risiko / increased risk
4 = hohes Risiko / high risk
"D" = Prefix für das Default Risiko bei Nicht-Dokumentation /
          Prefix for default risk if documentation is missing</t>
        </r>
      </text>
    </comment>
  </commentList>
</comments>
</file>

<file path=xl/sharedStrings.xml><?xml version="1.0" encoding="utf-8"?>
<sst xmlns="http://schemas.openxmlformats.org/spreadsheetml/2006/main" count="1441" uniqueCount="506">
  <si>
    <t>Kriterien für die Bewertung des Risikos bei Nicht-Dokumentation</t>
  </si>
  <si>
    <r>
      <t xml:space="preserve">FuSi relevanter Punkt. Weil nicht vom Safety Concept abgedeckt und damit keine entsprechenden Maßnahmen und damit die dort adressierten Probleme erwartet werden müssen. </t>
    </r>
    <r>
      <rPr>
        <b/>
        <sz val="11"/>
        <color rgb="FF000000"/>
        <rFont val="Calibri"/>
        <family val="2"/>
        <scheme val="minor"/>
      </rPr>
      <t>STATUS: 4</t>
    </r>
  </si>
  <si>
    <r>
      <t xml:space="preserve">Punkte die zur Bestimmung der notwendigen Performance und Resourcenverbrauch notwendig sind (z.b. reicht der Arbeitsspeicher?). Hier müsste im worst case die Soft- und/oder Hardware neu dimensioniert werden. </t>
    </r>
    <r>
      <rPr>
        <b/>
        <sz val="11"/>
        <color rgb="FF000000"/>
        <rFont val="Calibri"/>
        <family val="2"/>
        <scheme val="minor"/>
      </rPr>
      <t>STATUS: 3</t>
    </r>
  </si>
  <si>
    <r>
      <t xml:space="preserve">Punkte die sich eher auf Organisation und Zuständigkeiten (Ansprechpartner, Zuständigkeiten, Entwicklungsumgebung) beziehen. Hier kann üblicherweise davon ausgegangen werden, dass deren Dokumentation Kommunikation und Organisation erleichtern, sie aber grundsätzlich in einem Projekt implizit bekannt sind bzw. bereits existieren. </t>
    </r>
    <r>
      <rPr>
        <b/>
        <sz val="11"/>
        <color rgb="FF000000"/>
        <rFont val="Calibri"/>
        <family val="2"/>
        <scheme val="minor"/>
      </rPr>
      <t>STATUS: 1 oder 2</t>
    </r>
  </si>
  <si>
    <r>
      <t xml:space="preserve">Punkte, die sich auf detaillierte Beschreibungen von bereits generell gemachten Designentscheidungen beziehen. Z.b. die Angabe aller Variablen im RAM wenn bereits die Größe der einzelnen Stacks dokumentiert ist. Hier würde ich davon ausgehen, dass das zum einen vor Start der Implementierung schwer anzugeben ist und zum anderen üblicherweise eher Abschätzungen auf Basis von Erfahrungen zum Einsatz kommen. </t>
    </r>
    <r>
      <rPr>
        <b/>
        <sz val="11"/>
        <color rgb="FF000000"/>
        <rFont val="Calibri"/>
        <family val="2"/>
        <scheme val="minor"/>
      </rPr>
      <t>STATUS: 2</t>
    </r>
  </si>
  <si>
    <r>
      <rPr>
        <sz val="7"/>
        <color rgb="FF000000"/>
        <rFont val="Times New Roman"/>
        <family val="1"/>
      </rPr>
      <t xml:space="preserve"> </t>
    </r>
    <r>
      <rPr>
        <sz val="11"/>
        <color rgb="FF000000"/>
        <rFont val="Calibri"/>
        <family val="2"/>
        <scheme val="minor"/>
      </rPr>
      <t xml:space="preserve">Wiedergabe von Eigenschaften von Standard HW/SW Komponenten die ggf. in den Dokumentationen der Komponenten angegeben sind. Z.B. Beschreibung der MCU wenn der genaue Hersteller und Typ bereits dokumentiert ist. Hier sind die Details hilfreich für das Review und die Angabe zeigt, dass der Zulieferer sich ebenfalls damit beschäftigt hat und sie kennt und berücksichtigt. Im allgemeinen würde ich aber davon ausgehen, dass das der Fall ist. </t>
    </r>
    <r>
      <rPr>
        <b/>
        <sz val="11"/>
        <color rgb="FF000000"/>
        <rFont val="Calibri"/>
        <family val="2"/>
        <scheme val="minor"/>
      </rPr>
      <t>STATUS: 1 oder 2</t>
    </r>
    <r>
      <rPr>
        <sz val="11"/>
        <color rgb="FF000000"/>
        <rFont val="Calibri"/>
        <family val="2"/>
        <scheme val="minor"/>
      </rPr>
      <t xml:space="preserve"> </t>
    </r>
  </si>
  <si>
    <t>Version</t>
  </si>
  <si>
    <t>R08</t>
  </si>
  <si>
    <t>SWAD Review - Review of Software Architecture Documentation</t>
  </si>
  <si>
    <t>Runde /
Iteration</t>
  </si>
  <si>
    <t>ECU Name /
Product</t>
  </si>
  <si>
    <t>Lieferant /
Supplier</t>
  </si>
  <si>
    <t>Model Series /
Baureihe</t>
  </si>
  <si>
    <t>Leitfaden SWAD /
Guideline SWAD</t>
  </si>
  <si>
    <t>v5.1</t>
  </si>
  <si>
    <t>Bereitgestellte Dokumente / Provided Documents</t>
  </si>
  <si>
    <t>Dokument / 
Document</t>
  </si>
  <si>
    <t>Lieferdatum /
Delivery Date</t>
  </si>
  <si>
    <t>Referenz /
Reference</t>
  </si>
  <si>
    <t>Inhalt / 
Content</t>
  </si>
  <si>
    <t>[1]</t>
  </si>
  <si>
    <t>Legende: Bewertung Abweichung der Dokumentation ggü. Leitfaden / 
Legend: Assessment of Deviations with respect to Documentation Requirements in "Leitfaden"</t>
  </si>
  <si>
    <t>0</t>
  </si>
  <si>
    <t xml:space="preserve">  =&gt;  n/a</t>
  </si>
  <si>
    <t>1</t>
  </si>
  <si>
    <t xml:space="preserve">  =&gt;  ok</t>
  </si>
  <si>
    <t>2</t>
  </si>
  <si>
    <t xml:space="preserve">  =&gt;  geringe Abweichung / minor deviation</t>
  </si>
  <si>
    <t>3</t>
  </si>
  <si>
    <t xml:space="preserve">  =&gt;  mittlere Abweichung / moderate deviation</t>
  </si>
  <si>
    <t>4</t>
  </si>
  <si>
    <t xml:space="preserve">  =&gt;  große Abweichung oder nicht vorhanden / major deviation or missing</t>
  </si>
  <si>
    <t>Ergebnis Statistik / Result Statistics</t>
  </si>
  <si>
    <t>Gesamtanzahl/
Total number</t>
  </si>
  <si>
    <t>Overall Status:</t>
  </si>
  <si>
    <t>RED</t>
  </si>
  <si>
    <t>Risiko Einstufung / Risk Assessment</t>
  </si>
  <si>
    <t>Level</t>
  </si>
  <si>
    <t>-</t>
  </si>
  <si>
    <t>keine Risiken / no risks</t>
  </si>
  <si>
    <t>hohe Risiken / high risks</t>
  </si>
  <si>
    <t>Default Risiko Einstufung bei fehlender Dokumentation / 
Default Risk Assessment in case of Missing Documentation</t>
  </si>
  <si>
    <t>D0</t>
  </si>
  <si>
    <t>D1</t>
  </si>
  <si>
    <t>D2</t>
  </si>
  <si>
    <t>D3</t>
  </si>
  <si>
    <t>D4</t>
  </si>
  <si>
    <t>Leitfaden / Guideline</t>
  </si>
  <si>
    <r>
      <t xml:space="preserve">Leitfaden Software Architektur Dokumentation
</t>
    </r>
    <r>
      <rPr>
        <sz val="10"/>
        <color theme="1"/>
        <rFont val="Calibri"/>
        <family val="2"/>
        <scheme val="minor"/>
      </rPr>
      <t>(Kapitel-Referenz in Spalte B bezieht sich auf das Leitfaden-Dokument)</t>
    </r>
  </si>
  <si>
    <r>
      <t xml:space="preserve">Guideline Software Architecture Documentation
</t>
    </r>
    <r>
      <rPr>
        <sz val="10"/>
        <color theme="1"/>
        <rFont val="Calibri"/>
        <family val="2"/>
        <scheme val="minor"/>
      </rPr>
      <t>(Chapter-Reference in Column B refers to the guideline document)</t>
    </r>
  </si>
  <si>
    <t>Runde 1 /
Iteration 1</t>
  </si>
  <si>
    <t>Runde 2 /
Iteration 2</t>
  </si>
  <si>
    <t>Runde 3 /
Iteration 3</t>
  </si>
  <si>
    <t>Leitfaden Version/ Guideline Version</t>
  </si>
  <si>
    <t>Kapitel /
Chapter</t>
  </si>
  <si>
    <t>Review Gegenstand</t>
  </si>
  <si>
    <t>Review Objects</t>
  </si>
  <si>
    <t>Kurzbewertung /
Short Assessment</t>
  </si>
  <si>
    <t>Kommentar /
Comment</t>
  </si>
  <si>
    <t>Risiko /
Risk</t>
  </si>
  <si>
    <t>Default Risiko /
Default Risk</t>
  </si>
  <si>
    <t>4.5, 4.6, 5.1</t>
  </si>
  <si>
    <t>Deckblatt</t>
  </si>
  <si>
    <t>Cover Sheet</t>
  </si>
  <si>
    <t>Steuergerät</t>
  </si>
  <si>
    <t>Control unit</t>
  </si>
  <si>
    <t>Zielbaureihe</t>
  </si>
  <si>
    <t>Target Product Line</t>
  </si>
  <si>
    <t>5.1</t>
  </si>
  <si>
    <t>Fahrzeugarchitektur</t>
  </si>
  <si>
    <t>Vehicle Architecture</t>
  </si>
  <si>
    <t>Weitere Baureihen und/oder Fahrzeugarchitekturen mit geplantem Einsatz</t>
  </si>
  <si>
    <t>Other future product lines and/or vehicle architecture with planned deployment</t>
  </si>
  <si>
    <t>Autor und Ansprechpartner</t>
  </si>
  <si>
    <t>Author and contact person</t>
  </si>
  <si>
    <t>Datum</t>
  </si>
  <si>
    <t>Date</t>
  </si>
  <si>
    <t>Technische Randbedingungen</t>
  </si>
  <si>
    <t>Technical marginal conditions</t>
  </si>
  <si>
    <t>- Klemmenversorgung (Klemme 15 oder 30)</t>
  </si>
  <si>
    <t>- Terminal supply (terminal 15 or 30)</t>
  </si>
  <si>
    <t>- Genutzte Busse</t>
  </si>
  <si>
    <t>- Communication buses used</t>
  </si>
  <si>
    <t>- Eingesetztes OS (Hersteller, Name, Version)</t>
  </si>
  <si>
    <t>- Deployed operating systems (supplier, name, version)</t>
  </si>
  <si>
    <t>- Eingesetzte MCU(s), verfügbarer RAM, ROM, EEPROM</t>
  </si>
  <si>
    <t>- Used MCU(s), available RAM, ROM, EEPROM</t>
  </si>
  <si>
    <t>- Eingesetzte Flashbootloader (Hersteller, Name, Version)</t>
  </si>
  <si>
    <t>- Used Flash bootloader (supplier, name, version)</t>
  </si>
  <si>
    <t>Spezielle Anforderungen</t>
  </si>
  <si>
    <t>Special requirements</t>
  </si>
  <si>
    <t>- Maximaler FuSi-Level des Systems</t>
  </si>
  <si>
    <t>- Maximum FuSa level of the system</t>
  </si>
  <si>
    <t>- Besondere Securityanforderungen (Komponentenschutz, SWaP, Flashdatensicherheit)</t>
  </si>
  <si>
    <t>- Special Security requirement (component protection, SWaP, flash data security)</t>
  </si>
  <si>
    <t>- OBD-Relevanz</t>
  </si>
  <si>
    <t>- OBD relevance</t>
  </si>
  <si>
    <t>- Teilnahme am Teilnetzbetrieb (aktiv, passiv, keine)</t>
  </si>
  <si>
    <t>- Participation in the sub network operation (active, passive, none)</t>
  </si>
  <si>
    <t>- Diagnoseklasse</t>
  </si>
  <si>
    <t>- Diagnosis class</t>
  </si>
  <si>
    <t>Konzeptionelle Sicht</t>
  </si>
  <si>
    <t>Conceptual View</t>
  </si>
  <si>
    <t>4.1</t>
  </si>
  <si>
    <t>Überblick</t>
  </si>
  <si>
    <t>Overview</t>
  </si>
  <si>
    <t>4.2</t>
  </si>
  <si>
    <t>Übernahme und Weiterentwicklung auf Basis anderer Projekte</t>
  </si>
  <si>
    <t>Takeover and Further Development Based on Other Projects</t>
  </si>
  <si>
    <t>4.3</t>
  </si>
  <si>
    <t>Einsatz neuer Technologien oder Konzepte</t>
  </si>
  <si>
    <t>Use of New Technologies or Concepts</t>
  </si>
  <si>
    <t>4.4</t>
  </si>
  <si>
    <t>Kritische architektur-relevante Anforderungen</t>
  </si>
  <si>
    <t>Critical Architectural Requirements</t>
  </si>
  <si>
    <t>4.5</t>
  </si>
  <si>
    <t>Safety-relevante Aspekte</t>
  </si>
  <si>
    <t>Functional safety related aspects</t>
  </si>
  <si>
    <t>4.6</t>
  </si>
  <si>
    <t>Security-relevante Aspekte</t>
  </si>
  <si>
    <t>Security related aspects</t>
  </si>
  <si>
    <t>4.7</t>
  </si>
  <si>
    <t>Systemschnittstellen</t>
  </si>
  <si>
    <t>System interfaces</t>
  </si>
  <si>
    <t>4.8</t>
  </si>
  <si>
    <t>Systemverhalten im Netzwerk</t>
  </si>
  <si>
    <t>Network dependencies / roles</t>
  </si>
  <si>
    <t>4.9</t>
  </si>
  <si>
    <t>Flexray-Betrieb</t>
  </si>
  <si>
    <t>Flexray</t>
  </si>
  <si>
    <t>4.10</t>
  </si>
  <si>
    <t>Software Updates</t>
  </si>
  <si>
    <t>ECU software updated</t>
  </si>
  <si>
    <t>4.11</t>
  </si>
  <si>
    <t>Fail handling</t>
  </si>
  <si>
    <t xml:space="preserve">Failsafe action </t>
  </si>
  <si>
    <t>4.12</t>
  </si>
  <si>
    <t>Besondere Betriebsmodi</t>
  </si>
  <si>
    <t>Special operation modes</t>
  </si>
  <si>
    <t>4.13</t>
  </si>
  <si>
    <t>Verhalten bei Startup, Shutdown und Reset</t>
  </si>
  <si>
    <t>Behaviour at Startup, Shutdown and Reset</t>
  </si>
  <si>
    <t>5</t>
  </si>
  <si>
    <t>Infrastruktursicht</t>
  </si>
  <si>
    <t>Infrastructure View</t>
  </si>
  <si>
    <t>Hardwarekomponenten und Blockschaltbild</t>
  </si>
  <si>
    <t>Hardware components and block diagram</t>
  </si>
  <si>
    <t>5.2</t>
  </si>
  <si>
    <t>MCU-Beschreibung</t>
  </si>
  <si>
    <t>MCU description</t>
  </si>
  <si>
    <t>5.3</t>
  </si>
  <si>
    <t>Peripherie</t>
  </si>
  <si>
    <t>Peripherals</t>
  </si>
  <si>
    <t>5.4</t>
  </si>
  <si>
    <t>Geplanter Ressourcenverbrauch zu SOP</t>
  </si>
  <si>
    <t>Planned ressource consumption</t>
  </si>
  <si>
    <t>5.5</t>
  </si>
  <si>
    <t>Hardware-Ausweich-Strategie</t>
  </si>
  <si>
    <t>HW fallback strategy</t>
  </si>
  <si>
    <t>5.6</t>
  </si>
  <si>
    <t>Entwicklungsumgebung</t>
  </si>
  <si>
    <t>Development environment</t>
  </si>
  <si>
    <t>5.7</t>
  </si>
  <si>
    <t>Prävention gegen unbeabsichtigte Flash-Überschreiber im laufenden Betrieb</t>
  </si>
  <si>
    <t>Prevention of unwanted flash overwrite</t>
  </si>
  <si>
    <t>5.8</t>
  </si>
  <si>
    <t>Watchdog-Konzept</t>
  </si>
  <si>
    <t>Watchdog concept</t>
  </si>
  <si>
    <t>6</t>
  </si>
  <si>
    <t>Logische Sicht</t>
  </si>
  <si>
    <t>Logical View</t>
  </si>
  <si>
    <t>6.1</t>
  </si>
  <si>
    <t>Schichtenmodell der Softwarekomponenten</t>
  </si>
  <si>
    <t>Static architcture, layer and component model</t>
  </si>
  <si>
    <t>6.2</t>
  </si>
  <si>
    <t>Beschreibung der Softwarekomponenten</t>
  </si>
  <si>
    <t>Description of the SW components</t>
  </si>
  <si>
    <t>6.3</t>
  </si>
  <si>
    <t>Organisatorische Aufteilung</t>
  </si>
  <si>
    <t>Responsibilities</t>
  </si>
  <si>
    <t>6.4</t>
  </si>
  <si>
    <t>Datenfluß</t>
  </si>
  <si>
    <t>Important data flows</t>
  </si>
  <si>
    <t>6.5</t>
  </si>
  <si>
    <t>Safety-Architektur</t>
  </si>
  <si>
    <t>Mechanisms to achieve ASIL requirements</t>
  </si>
  <si>
    <t>7</t>
  </si>
  <si>
    <t>Datensicht</t>
  </si>
  <si>
    <t>Data View</t>
  </si>
  <si>
    <t>7.1</t>
  </si>
  <si>
    <t>ROM Memory Map</t>
  </si>
  <si>
    <t>- Die Anzahl, Größe und Lage der Speicherbereiche</t>
  </si>
  <si>
    <t>- Number and size of data blocks</t>
  </si>
  <si>
    <t>- Die Information, ob und welche Speicherbereiche einzeln aktualisierbar sind</t>
  </si>
  <si>
    <t>- Update concept for the particular blocks</t>
  </si>
  <si>
    <t>- Die Inhalte eines jeden Speicherbereichs</t>
  </si>
  <si>
    <t>- Content of each block</t>
  </si>
  <si>
    <t>- Der in jedem Speicherbereich noch vorgehaltene freie Speicherplatz</t>
  </si>
  <si>
    <t>- Reserved memory per block</t>
  </si>
  <si>
    <t>- Speicherbereiche, die besondere Maßnahmen gegen Überschreiben/Manipulation benötigen</t>
  </si>
  <si>
    <t>- Blocks with special protection measures (e.g. for functional safety data)</t>
  </si>
  <si>
    <t>7.2</t>
  </si>
  <si>
    <t>RAM Memory Map</t>
  </si>
  <si>
    <t>- Variablen der einzelnen Komponenten</t>
  </si>
  <si>
    <t>- Variables of individual components</t>
  </si>
  <si>
    <t>- Globale Variablen</t>
  </si>
  <si>
    <t>- Global variables</t>
  </si>
  <si>
    <t>- Variablen die gemeinsam genutzt werden</t>
  </si>
  <si>
    <t>- Commonly used variables</t>
  </si>
  <si>
    <t>- Anzahl und Größe Stacks</t>
  </si>
  <si>
    <t>- Number and size of stacks</t>
  </si>
  <si>
    <t>- EEPROM Puffer</t>
  </si>
  <si>
    <t>- EEPROM buffer</t>
  </si>
  <si>
    <t>- Absicherungsmaßnahmen (z.B. MPU, Checksumme, ECC, etc.)</t>
  </si>
  <si>
    <t>- Data consistency checks (Safety)</t>
  </si>
  <si>
    <t>7.3</t>
  </si>
  <si>
    <t>Varianten</t>
  </si>
  <si>
    <t>Handling of SW variants</t>
  </si>
  <si>
    <t>7.4</t>
  </si>
  <si>
    <t>Datenspeicherung und Datensicherung</t>
  </si>
  <si>
    <t>Data storage and data assurance</t>
  </si>
  <si>
    <t>7.5</t>
  </si>
  <si>
    <t>Datenpuffer</t>
  </si>
  <si>
    <t>Data buffers</t>
  </si>
  <si>
    <t>7.6</t>
  </si>
  <si>
    <t>Resetsichere Daten</t>
  </si>
  <si>
    <t>Reset safe data</t>
  </si>
  <si>
    <t>8</t>
  </si>
  <si>
    <t>Prozesssicht Classic AUTOSAR</t>
  </si>
  <si>
    <t>Process View Classic AUTOSAR</t>
  </si>
  <si>
    <t>8.1</t>
  </si>
  <si>
    <t>Betriebssystem</t>
  </si>
  <si>
    <t>OS</t>
  </si>
  <si>
    <t>- Hersteller</t>
  </si>
  <si>
    <t>- Vendor</t>
  </si>
  <si>
    <t>- OSEK Conformance Class</t>
  </si>
  <si>
    <t>- OSEK Conformance class</t>
  </si>
  <si>
    <t>- OSEK Scalability Class</t>
  </si>
  <si>
    <t>- OSEK Scalability class</t>
  </si>
  <si>
    <t>- AUTOSAR Implementation Conformance Class</t>
  </si>
  <si>
    <t>- Übernahmestrategie</t>
  </si>
  <si>
    <t>- Overtaking strategy</t>
  </si>
  <si>
    <t>8.2</t>
  </si>
  <si>
    <t>Runables</t>
  </si>
  <si>
    <t>Runnables</t>
  </si>
  <si>
    <t>- Funktion</t>
  </si>
  <si>
    <t>- Function</t>
  </si>
  <si>
    <t>- Startbedingung / Zykluszeit</t>
  </si>
  <si>
    <t>- Start conditions / cycle time</t>
  </si>
  <si>
    <t>- Startreihenfolge im Task</t>
  </si>
  <si>
    <t>- Starting order in task</t>
  </si>
  <si>
    <t>- Zuordnung zu Task</t>
  </si>
  <si>
    <t>- Assignment to task</t>
  </si>
  <si>
    <t>- Preemtivität</t>
  </si>
  <si>
    <t>- Preemtiveness</t>
  </si>
  <si>
    <t>- Maximale Laufzeit</t>
  </si>
  <si>
    <t>- Maximum runtime</t>
  </si>
  <si>
    <t>- MPU Einstellung</t>
  </si>
  <si>
    <t>- MPU setting</t>
  </si>
  <si>
    <t>- Maximales ASIL Level</t>
  </si>
  <si>
    <t>- Maximum ASIL level</t>
  </si>
  <si>
    <t>8.3</t>
  </si>
  <si>
    <t>Tasks</t>
  </si>
  <si>
    <t>Task</t>
  </si>
  <si>
    <t>- Zykluszeit</t>
  </si>
  <si>
    <t>- Cycle time</t>
  </si>
  <si>
    <t>- Priorität</t>
  </si>
  <si>
    <t>- Priority</t>
  </si>
  <si>
    <t>- Preemptivität</t>
  </si>
  <si>
    <t>- Extended Task oder Basic Task</t>
  </si>
  <si>
    <t>- Deadline, maximale Latenz</t>
  </si>
  <si>
    <t>- Deadline, maximum latency</t>
  </si>
  <si>
    <t>- Zugeordnete OSApplication (nur bei SC3 oder SC4)</t>
  </si>
  <si>
    <t>- Assigned OS application (only for SC3 and SC4)</t>
  </si>
  <si>
    <t>- Stackverbrauch</t>
  </si>
  <si>
    <t>- Stack consumption</t>
  </si>
  <si>
    <t>- Welcher Stack wird genutzt</t>
  </si>
  <si>
    <t>- Which stack is used</t>
  </si>
  <si>
    <t>- Wie wird die Task gestartet</t>
  </si>
  <si>
    <t>- How is the task started</t>
  </si>
  <si>
    <t>- Maximaler ASIL-Level</t>
  </si>
  <si>
    <t>- Zugeordnete MPU-Einstellung</t>
  </si>
  <si>
    <t>- Assigned MPU setting</t>
  </si>
  <si>
    <t>- Beschreibung Startup Task, sofern vorhanden</t>
  </si>
  <si>
    <t>- Description of the startup task (if there is one)</t>
  </si>
  <si>
    <t>- Beschreibung Background Task, sofern vorhanden</t>
  </si>
  <si>
    <t>- Description of the background task (if there is one)</t>
  </si>
  <si>
    <t>- Grafische Übersicht vorhanden</t>
  </si>
  <si>
    <t>- Graphical overview of task timing</t>
  </si>
  <si>
    <t>8.4</t>
  </si>
  <si>
    <t>ISRs</t>
  </si>
  <si>
    <t>- Zykluszeit (erwartet sowie maximal)</t>
  </si>
  <si>
    <t>- Cycle time (exptected and maximum)</t>
  </si>
  <si>
    <t>- Kategorie 1 oder 2</t>
  </si>
  <si>
    <t>- Category 1 or 2</t>
  </si>
  <si>
    <t>- Selbst unterbrechbar durch andere ISRs (wenn ja, welche)</t>
  </si>
  <si>
    <t>- Interruptable by other ISRs? (if so, which ones)</t>
  </si>
  <si>
    <t>- Deadlines, maximale Latenz</t>
  </si>
  <si>
    <t>- Welcher Stack wird verwendet?</t>
  </si>
  <si>
    <t>- Which stack is used?</t>
  </si>
  <si>
    <t>8.5</t>
  </si>
  <si>
    <t>OS-Hooks</t>
  </si>
  <si>
    <t>OS Hooks</t>
  </si>
  <si>
    <t>- Reaktion des Systems auf Aufruf</t>
  </si>
  <si>
    <t>- Corresponding system reaction</t>
  </si>
  <si>
    <t>4.6, 5.1</t>
  </si>
  <si>
    <t>8.6</t>
  </si>
  <si>
    <t>Zeitverhalten</t>
  </si>
  <si>
    <t>Timing Behaviour</t>
  </si>
  <si>
    <t>8.6.1</t>
  </si>
  <si>
    <t>Dynamisches Design</t>
  </si>
  <si>
    <t>Dynamic Design</t>
  </si>
  <si>
    <t>8.6.2</t>
  </si>
  <si>
    <t>Echtzeitanforderungen</t>
  </si>
  <si>
    <t>Real-time Requirements</t>
  </si>
  <si>
    <t>8.6.3</t>
  </si>
  <si>
    <t>Einflussfaktoren</t>
  </si>
  <si>
    <t>Influencing Factors</t>
  </si>
  <si>
    <t>8.6.4</t>
  </si>
  <si>
    <t>Lasttests</t>
  </si>
  <si>
    <t>Load Tests</t>
  </si>
  <si>
    <t>9</t>
  </si>
  <si>
    <t>Prozesssicht POSIX-OS basierte ECUs</t>
  </si>
  <si>
    <t>Process View POSIX-OS based ECUs</t>
  </si>
  <si>
    <t>9.1</t>
  </si>
  <si>
    <t>- Hersteller der Betriebssystems</t>
  </si>
  <si>
    <t>- Vendor of OS</t>
  </si>
  <si>
    <t>- Hersteller der eingesetzte SDKs</t>
  </si>
  <si>
    <t>- Used SDKs and its vendor</t>
  </si>
  <si>
    <t>9.2</t>
  </si>
  <si>
    <t>Prozesse</t>
  </si>
  <si>
    <t>Processes</t>
  </si>
  <si>
    <t>- Cycle time (if known)</t>
  </si>
  <si>
    <t>- Anzahl der Threads</t>
  </si>
  <si>
    <t>- Number of Threads</t>
  </si>
  <si>
    <t>- Echtzeitanforderungen</t>
  </si>
  <si>
    <t>- Real-time Requirements</t>
  </si>
  <si>
    <t>- Abhängigkeiten von anderen Prozessen, bzw. Ereignissen</t>
  </si>
  <si>
    <t>- Dependencies on other processes or events</t>
  </si>
  <si>
    <t>- Erwartete CPU-Last</t>
  </si>
  <si>
    <t>- Expected CPU load</t>
  </si>
  <si>
    <t>- Zuordnung zu einem CPU-Kern</t>
  </si>
  <si>
    <t>- Assignment to a CPU core</t>
  </si>
  <si>
    <t xml:space="preserve">- Erwarteter RAM-Verbrauch </t>
  </si>
  <si>
    <t>- Expected RAM consumption (stack and heap memory)</t>
  </si>
  <si>
    <t>- Wie wird der Prozess gestartet (mittels Initprozess; durch einen anderen Prozess)</t>
  </si>
  <si>
    <t>- How is the process started (by init-process; through another process)</t>
  </si>
  <si>
    <t xml:space="preserve">- Grafische Übersicht über das geplante Scheduling </t>
  </si>
  <si>
    <t>- Graphical overview of planned scheduling</t>
  </si>
  <si>
    <t>9.3</t>
  </si>
  <si>
    <t>Betriebssystem-Dienste</t>
  </si>
  <si>
    <t>OS Services</t>
  </si>
  <si>
    <t>Allgemein</t>
  </si>
  <si>
    <t>General</t>
  </si>
  <si>
    <t>not documented</t>
  </si>
  <si>
    <t>[1] Revision History</t>
  </si>
  <si>
    <t>version 0.2</t>
  </si>
  <si>
    <t>[1] 5.2.1 Communication</t>
  </si>
  <si>
    <t>CAN, Ethernet, I2C, UART</t>
  </si>
  <si>
    <t>[1] 3.2.2 Platform Software View</t>
  </si>
  <si>
    <t xml:space="preserve">Classic Autosar &amp; POSIX OS (QNX RTOS)
'- missing supplier, version ...
</t>
  </si>
  <si>
    <t>[1] 5.1.1 Safety Partition - SMH_SAFE
5.1.2 Performance Partition - SMH_PERF
5.2 Level 1: Logical Services</t>
  </si>
  <si>
    <t xml:space="preserve">[1] </t>
  </si>
  <si>
    <t>[1] 5.2 Level 1: Logical Services</t>
  </si>
  <si>
    <t>[1] 5.2.1.1.1 Signal oriented communication</t>
  </si>
  <si>
    <t>- SH master, PF Slave on ethernet
- CAN on SH</t>
  </si>
  <si>
    <t>[1] 5.2.1 Communication
5.2.1.1 Inter-ECU Communication 
5.2.1.2 Intra-ECU communication
5.2.1.3 Ethernet BUS (PFE Topology)</t>
  </si>
  <si>
    <t>How is reset reason detected is not sure</t>
  </si>
  <si>
    <t>[1] 5.2.5 Persistent storage
5.2.7 Software update</t>
  </si>
  <si>
    <t>[1] 6.1 Overall ECU start-up</t>
  </si>
  <si>
    <t>KL30? Not mentioned explicitly anywhere</t>
  </si>
  <si>
    <t>[1] 5.2.1.1 Inter-ECU Communication 
 5.2.1.1.1 Signal oriented communication
5.2.1.1.2 Service oriented communication
5.2.1.1.3 REM Network Proxy
6.2.2.7 Wakeup via CAN</t>
  </si>
  <si>
    <t>[1] 6.2.2.6 Update UDS
6.2.6 Software update</t>
  </si>
  <si>
    <t>[1] 6.1 Overall ECU start-up
6.2.2.1 System state machine
6.2.2.5 State management TDAs and EyeQs
6.2.2.8 Trigger IDC WriteAll (shutdown)
6.2.4.1 Diagnostic Services (Reset)
6.2.7.1 Bootmode CLI</t>
  </si>
  <si>
    <t>[1] 5.2.13 Security
6.2.12 Security</t>
  </si>
  <si>
    <t>[1] 8.1 High level Safety Concept</t>
  </si>
  <si>
    <t>max ASIL Rating? ASIL-D?</t>
  </si>
  <si>
    <t>yes</t>
  </si>
  <si>
    <t xml:space="preserve">which diagnosis class </t>
  </si>
  <si>
    <t>[1] 1 Introduction and Goals
2 Architecture Constraints</t>
  </si>
  <si>
    <t>It seems that some concepts are reused from HCP2.low project but not clear to what extent. It shall be described as per Leitpfaden.</t>
  </si>
  <si>
    <t>[1] 3.2 Technical Context
3.2.1 Technical Interfaces</t>
  </si>
  <si>
    <t>[1] 5.1 Level 1: High-level building blocks
7.2 S32G3 device deployment
3.1 Business Context
3.3 Use Cases</t>
  </si>
  <si>
    <t>which concrete safety goal needs to be achieved?</t>
  </si>
  <si>
    <t>[1] pg.10, pg 35</t>
  </si>
  <si>
    <t>NA</t>
  </si>
  <si>
    <t>UDS Update, Application, Degraded</t>
  </si>
  <si>
    <t>[1] Chapter 6
3.2.1 Technical Interfaces</t>
  </si>
  <si>
    <t>Missing ASIL Rating of external peripherals</t>
  </si>
  <si>
    <t>[1] 6.2.2.1 System state machine
6.2.2.2 Degraded mode and defect mode
6.2.2.3 HIL mode and development mode</t>
  </si>
  <si>
    <t>[1] 5.2.12 Memory protection
5.2.13 Security
6.2.11 Memory protection</t>
  </si>
  <si>
    <t xml:space="preserve"> [1] 5.2.11.3 Task monitoring
6.2.10.3 Task monitoring</t>
  </si>
  <si>
    <t>- Internal and external watchdog is used
'- Not fully documented as per the information requested in architecture guideline document</t>
  </si>
  <si>
    <t>[1] 5.2.12 Memory protection
6.2.11 Memory protection
5.2.14 Design Validation (DV)
5.2.14.4 Memory Peripheral Tests
5.2.11 Health, 6.2.10 Health</t>
  </si>
  <si>
    <t>[1] 6.2.7 Analysis framework
5.2.8.3 Remote access</t>
  </si>
  <si>
    <t>[1] 6.2.10.2 Error handler
6.2.10 Health 
5.2.11 Health
6.2.7.5 Version Module (VM)</t>
  </si>
  <si>
    <t xml:space="preserve">Are there any software or dataset variants for different car, engine, ...? </t>
  </si>
  <si>
    <t xml:space="preserve">6.2.5.1 Persistency
</t>
  </si>
  <si>
    <t>Not fully documented as per the information requested in architecture guideline document</t>
  </si>
  <si>
    <t>S32G3 SoC
'- missing RAM, ROM, EEPROM size
- S.NOR Flash 256 MB
- eMMC 64 GB</t>
  </si>
  <si>
    <t>[1] 5.1 Level 1: High-level building blocks</t>
  </si>
  <si>
    <t xml:space="preserve"> indirectly deductible from chapter 6 Runtime View, but the clear list of runnables is not documented</t>
  </si>
  <si>
    <t>[1] 6.2.11 Memory protection</t>
  </si>
  <si>
    <t>Not documented
'expected graphical overview of planned scheduling for SH and PH</t>
  </si>
  <si>
    <t>Possible influencing factors concerning execution timing between diff. SWCs</t>
  </si>
  <si>
    <t>- Autosar from Vector</t>
  </si>
  <si>
    <t>- QNX from Blackberry</t>
  </si>
  <si>
    <t>- diagnostics, MotionWise Tool suite, 
Diagnostics Client tools (ODIS, PASDT), Command line tool
'- List of interfaces in a table and how/when certain functionality is deactivated in production  SW ECU?</t>
  </si>
  <si>
    <t>- customer requirements regarding maximum permitted startup and shutdown time?</t>
  </si>
  <si>
    <t>MotionWise Tool suite, Bootmode CLI tool, Diagnostics Client tools, collection of Python scripts for Remote Access ...
'- missing list of development tools (compiler, IDEs, Debugger), code generator, graphic modelling tool, resource measurement and analysis tools</t>
  </si>
  <si>
    <t>- Origin of component for light skyblue and dark blue coloured components is not clear in 5.1.2 Performance Partition - SMH_PERF
- handwritten or generated code?
- Reused from other project or newly developed SWCs?
- Safety Rating?
- Not all SWCs described from static architecture diagram. Description for many SWCs is missing from internal and external suppliers.</t>
  </si>
  <si>
    <t>- Exception Handler, protection hook, OSHook callback()
' Clear list of all OS hooks on PH and SH is missing</t>
  </si>
  <si>
    <t>in diagram 3.2 Technical Context, ULS is marked as TTTech component?</t>
  </si>
  <si>
    <t>- missing list of real time requirements that has to be met by architecture and how it is evaluated
'- e.g. Throughput in terms of MBPS of multiple requests and routing to TDA and EYEQ ECU, maximum permissible delay</t>
  </si>
  <si>
    <t>TTTech Auto</t>
  </si>
  <si>
    <t>[1] Header</t>
  </si>
  <si>
    <t xml:space="preserve">SV62 MCU </t>
  </si>
  <si>
    <t>SV62_MCU_Platform_Software_Architecture_Report_v0.2.pdf</t>
  </si>
  <si>
    <t>SV62 MCU Software Architecture</t>
  </si>
  <si>
    <t>SV62_MCU_Platform_Software_Architecture_Report_v0.3.pdf</t>
  </si>
  <si>
    <t>schedule_visualization_SH.html</t>
  </si>
  <si>
    <t>[2]</t>
  </si>
  <si>
    <t>schedule_visualization_PH.html</t>
  </si>
  <si>
    <t>[3]</t>
  </si>
  <si>
    <t>version 0.3</t>
  </si>
  <si>
    <t>execution budget</t>
  </si>
  <si>
    <t>ASIL D</t>
  </si>
  <si>
    <t>Safety Host schedule visualization</t>
  </si>
  <si>
    <t>Performance Host schedule visualization</t>
  </si>
  <si>
    <t>[4]</t>
  </si>
  <si>
    <t>[2] Header</t>
  </si>
  <si>
    <t>[2] Revision History</t>
  </si>
  <si>
    <t>[2] 6.1 Overall ECU start-up</t>
  </si>
  <si>
    <t>[2] 5.2.1 Communication</t>
  </si>
  <si>
    <t>[2] 3.2.2 Platform Software View</t>
  </si>
  <si>
    <t>[2] 5.2.13 Security
6.2.12 Security</t>
  </si>
  <si>
    <t>[2] 5.2.1.1.1 Signal oriented communication</t>
  </si>
  <si>
    <t>[2] 5.1 Level 1: High-level building blocks
7.2 S32G3 device deployment
3.1 Business Context
3.3 Use Cases</t>
  </si>
  <si>
    <t>[2] 1 Introduction and Goals
2 Architecture Constraints</t>
  </si>
  <si>
    <t>[2] 8.1 High level Safety Concept</t>
  </si>
  <si>
    <t>[2] pg.10, pg 35</t>
  </si>
  <si>
    <t>[2] 5.2.1.1 Inter-ECU Communication 
 5.2.1.1.1 Signal oriented communication
5.2.1.1.2 Service oriented communication
5.2.1.1.3 REM Network Proxy
6.2.2.7 Wakeup via CAN</t>
  </si>
  <si>
    <t>[2] 6.2.2.6 Update UDS
6.2.6 Software update</t>
  </si>
  <si>
    <t>[2] 6.2.10.2 Error handler
6.2.10 Health 
5.2.11 Health
6.2.7.5 Version Module (VM)</t>
  </si>
  <si>
    <t>[2] 6.2.2.1 System state machine
6.2.2.2 Degraded mode and defect mode
6.2.2.3 HIL mode and development mode</t>
  </si>
  <si>
    <t>[2] 6.1 Overall ECU start-up
6.2.2.1 System state machine
6.2.2.5 State management TDAs and EyeQs
6.2.2.8 Trigger IDC WriteAll (shutdown)
6.2.4.1 Diagnostic Services (Reset)
6.2.7.1 Bootmode CLI</t>
  </si>
  <si>
    <t>[2] 3.2 Technical Context
3.2.1 Technical Interfaces</t>
  </si>
  <si>
    <t>[2] Chapter 6
3.2.1 Technical Interfaces</t>
  </si>
  <si>
    <t>[2] 6.2.7 Analysis framework
5.2.8.3 Remote access</t>
  </si>
  <si>
    <t>[2] 5.2.12 Memory protection
5.2.13 Security
6.2.11 Memory protection</t>
  </si>
  <si>
    <t xml:space="preserve"> [2] 5.2.11.3 Task monitoring
6.2.10.3 Task monitoring</t>
  </si>
  <si>
    <t>[2] 5.1.1 Safety Partition - SMH_SAFE
5.1.2 Performance Partition - SMH_PERF
5.2 Level 1: Logical Services</t>
  </si>
  <si>
    <t>[2] 5.2 Level 1: Logical Services</t>
  </si>
  <si>
    <t>[2] 5.2.1 Communication
5.2.1.1 Inter-ECU Communication 
5.2.1.2 Intra-ECU communication
5.2.1.3 Ethernet BUS (PFE Topology)</t>
  </si>
  <si>
    <t>[2] 5.2.12 Memory protection
6.2.11 Memory protection
5.2.14 Design Validation (DV)
5.2.14.4 Memory Peripheral Tests
5.2.11 Health, 6.2.10 Health</t>
  </si>
  <si>
    <t>[2] 5.2.5 Persistent storage
5.2.7 Software update</t>
  </si>
  <si>
    <t>[2] 5.1 Level 1: High-level building blocks</t>
  </si>
  <si>
    <t>[2] chapter 6.2.13.1</t>
  </si>
  <si>
    <t>ASIL-D</t>
  </si>
  <si>
    <t>[2] chapter 6.2.4, 5.2.4 Diagnostics</t>
  </si>
  <si>
    <t>[2] 6.2.14 Memory Layout
5.2.14.4 Memory Peripheral Tests</t>
  </si>
  <si>
    <t>no change</t>
  </si>
  <si>
    <t>- No change.
- in diagram 3.2 Technical Context, UltraSonic is marked as TTTech component? Is it not part of TDA ECU?</t>
  </si>
  <si>
    <t>no change
'- Measured core utilization is available in references 3 &amp; 4</t>
  </si>
  <si>
    <t>No change</t>
  </si>
  <si>
    <t>Secure memory regions</t>
  </si>
  <si>
    <t>"Memory protection feature ensures FFI (Freedom from Interference) in spatial domain by controlling access to
memory and peripherals on Safety host and performance host partition by using MPU, MMU and XRDC"</t>
  </si>
  <si>
    <t>[2] 6.2.14.3 SRAM layout</t>
  </si>
  <si>
    <t>[2] 6.2.5.1.1 Safety host Persistency
6.2.5.1.3 Persistency Software Update and Migration
6.2.5.2.1 Safety host Datasets
6.2.5.2.2 Performance host Datasets
6.2.4.2 Diagnostic Objects
6.2.5.3 Metaprovider
6.2.5.1 Persistency
6.2.6.1.4 Overall UDS Software Update Sequence
6.2.7.2 HCP recorder</t>
  </si>
  <si>
    <t>[1] 6.2.5.1.1 Safety host Persistency
6.2.5.1.3 Persistency Software Update and Migration
6.2.5.2.1 Safety host Datasets
6.2.5.2.2 Performance host Datasets
6.2.4.2 Diagnostic Objects
6.2.5.3 Metaprovider
6.2.5.1 Persistency
6.2.6.1.4 Overall UDS Software Update Sequence
6.2.7.2 HCP recorder</t>
  </si>
  <si>
    <t>S32G3 SoC
'- SRAM, ROM, EEPROM size
- LPDDR4 4 GB
- S.NOR Flash 256 MB (Safety host)
- eMMC 64 GB (Performance host)</t>
  </si>
  <si>
    <t>[2] 5.2.12 Memory protection,
6.2.14.3 SRAM layout -&gt; pg. 231</t>
  </si>
  <si>
    <t>[2] 6.2.14.1 NOR Flash
[2] 6.2.14.2 eMMC layout</t>
  </si>
  <si>
    <t>- Total size is ~15634 KB</t>
  </si>
  <si>
    <t>- It is not clear if EERPOM is buffered in RAM?</t>
  </si>
  <si>
    <t>[2] 6.2.14.2 eMMC layout
HCP2MEP-107795</t>
  </si>
  <si>
    <t>- Missing EEPROM and its storage/access type for EEPROM mentioned in diagram 3.2.1</t>
  </si>
  <si>
    <t>[2] 6.2.13.1 Safety Host</t>
  </si>
  <si>
    <t>[2] 6.2.13.2 Performance Host</t>
  </si>
  <si>
    <t>[2] 5.2.12 
6.2.14.3 SRAM layout -&gt; pg. 231</t>
  </si>
  <si>
    <t>- no change</t>
  </si>
  <si>
    <t>- total of execution budget from runnables</t>
  </si>
  <si>
    <t>User - Read,execute
Supervisor - Read,Execute</t>
  </si>
  <si>
    <t>[3]
[4]</t>
  </si>
  <si>
    <t xml:space="preserve">no change
'- Potential high load and influencing factors are not documented, and therefore it is uncertain if high load test are also covered in timing measurements </t>
  </si>
  <si>
    <t xml:space="preserve">[4] </t>
  </si>
  <si>
    <t>- are PH processes single thread or could have multiple threads?</t>
  </si>
  <si>
    <t>See chapter 8.6.2</t>
  </si>
  <si>
    <t>missing</t>
  </si>
  <si>
    <t>- Architecture document covers most of the technical concepts regarding Logical and Conceptual view. Provided document is compliant to ASPICE requirements.
- However, there are 64 out of 133 points not documented and missing information required as per Porsche architecture document guideline.
- Almost all points in chapter ISRs, OS-Hooks for AUTOSAR OS and OS Services for POSIX OS are missing.
- Several minor to moderate deviations are due to insufficient information on requested aspects.</t>
  </si>
  <si>
    <t>-decided by ME</t>
  </si>
  <si>
    <t>Vector FBL for VAG (license number: CBD2301386_D00)
- should be documented in Arch. Docu.</t>
  </si>
  <si>
    <t xml:space="preserve">- Classic Autosar &amp; POSIX OS (QNX RTOS)
- 8 x Cortex A53: Performance host (QNX)
- 3 x Cortex M7: Safety Host (Classic Autosar)
- missing supplier, version ...
- "Classic AutoSar --&gt;Vector Microsar OS S32G v2.88, QNX OS version 7.1 from blackberry"
- shall be added in arch docu.
</t>
  </si>
  <si>
    <t>D4 High
- shall be documented</t>
  </si>
  <si>
    <t>- are there any software variants?  -&gt; no SW variants
- what each datasets are for?</t>
  </si>
  <si>
    <t>N/A</t>
  </si>
  <si>
    <t>Conformance class 3
- shall be documented</t>
  </si>
  <si>
    <t>Scalability class 4
- shall be documented</t>
  </si>
  <si>
    <t>not explicitly mentioned
- Preemptive structure
- Shall be documented</t>
  </si>
  <si>
    <t>- Preemptive
- Shall be documented</t>
  </si>
  <si>
    <t>- each task have its own stack and shall be added in arch docu
- mem_ram_asr_os_stacks_c0 = 128 KB
- mem_ram_asr_os_stacks_c1 = 98 KB
- mem_ram_asr_os_stacks_c2 = 98 KB</t>
  </si>
  <si>
    <t xml:space="preserve">only Idle task </t>
  </si>
  <si>
    <t>[2] 6.2.13.2 Performance Host
[4]</t>
  </si>
  <si>
    <t>- can be seen in runnable properties in [4]
- Time scheduled, only forground and background task</t>
  </si>
  <si>
    <t xml:space="preserve"> most processes are cyclic. Always running once started.
- Processes running in a free-running-mode shall be documented e.g. SOME_IP, timesync...</t>
  </si>
  <si>
    <t>- The architecture document has been extended with information on scheduling and the memory map. Other chapters with a rating of 2 or higher have not been updated.
- Currently, 70 out of 133 points are not documented and missing information required as per Porsche architecture review guideline.
- However, the completeness of the architecture document has increased from 16% in Round 1 to 48% in Round 2.
- Almost all points in the chapters on ISRs, OS Hooks for AUTOSAR OS, and OS-Services for POSIX OS are missing.
- Several minor to moderate deviations are due to insufficient information on requested aspects.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</si>
</sst>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9"/>
      <color indexed="81"/>
      <name val="Tahoma"/>
      <family val="2"/>
    </font>
    <font>
      <sz val="11"/>
      <name val="Calibri"/>
      <family val="2"/>
      <scheme val="minor"/>
    </font>
    <font>
      <b/>
      <sz val="14"/>
      <color theme="1"/>
      <name val="Calibri"/>
      <family val="2"/>
      <scheme val="minor"/>
    </font>
    <font>
      <sz val="12"/>
      <name val="Calibri"/>
      <family val="2"/>
      <scheme val="minor"/>
    </font>
    <font>
      <sz val="10"/>
      <color theme="1"/>
      <name val="Calibri"/>
      <family val="2"/>
      <scheme val="minor"/>
    </font>
    <font>
      <b/>
      <sz val="12"/>
      <name val="Calibri"/>
      <family val="2"/>
      <scheme val="minor"/>
    </font>
    <font>
      <sz val="11"/>
      <color rgb="FF000000"/>
      <name val="Calibri"/>
      <family val="2"/>
      <scheme val="minor"/>
    </font>
    <font>
      <sz val="7"/>
      <color rgb="FF000000"/>
      <name val="Times New Roman"/>
      <family val="1"/>
    </font>
    <font>
      <b/>
      <sz val="11"/>
      <color rgb="FF000000"/>
      <name val="Calibri"/>
      <family val="2"/>
      <scheme val="minor"/>
    </font>
    <font>
      <b/>
      <sz val="20"/>
      <color theme="1"/>
      <name val="Calibri"/>
      <family val="2"/>
      <scheme val="minor"/>
    </font>
    <font>
      <sz val="8"/>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99"/>
        <bgColor indexed="64"/>
      </patternFill>
    </fill>
    <fill>
      <patternFill patternType="solid">
        <fgColor rgb="FFFF7171"/>
        <bgColor indexed="64"/>
      </patternFill>
    </fill>
    <fill>
      <patternFill patternType="solid">
        <fgColor theme="0"/>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FFD299"/>
        <bgColor indexed="64"/>
      </patternFill>
    </fill>
    <fill>
      <patternFill patternType="solid">
        <fgColor rgb="FFFFA082"/>
        <bgColor indexed="64"/>
      </patternFill>
    </fill>
  </fills>
  <borders count="22">
    <border>
      <left/>
      <right/>
      <top/>
      <bottom/>
      <diagonal/>
    </border>
    <border>
      <left/>
      <right/>
      <top/>
      <bottom style="medium">
        <color indexed="64"/>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indexed="64"/>
      </bottom>
      <diagonal/>
    </border>
    <border>
      <left style="thin">
        <color indexed="64"/>
      </left>
      <right/>
      <top/>
      <bottom/>
      <diagonal/>
    </border>
    <border>
      <left style="thin">
        <color theme="0" tint="-0.499984740745262"/>
      </left>
      <right/>
      <top/>
      <bottom style="medium">
        <color indexed="64"/>
      </bottom>
      <diagonal/>
    </border>
    <border>
      <left style="thin">
        <color theme="0" tint="-0.499984740745262"/>
      </left>
      <right/>
      <top/>
      <bottom/>
      <diagonal/>
    </border>
    <border>
      <left style="thin">
        <color indexed="64"/>
      </left>
      <right style="thin">
        <color theme="0" tint="-0.499984740745262"/>
      </right>
      <top/>
      <bottom style="medium">
        <color indexed="64"/>
      </bottom>
      <diagonal/>
    </border>
    <border>
      <left style="thin">
        <color indexed="64"/>
      </left>
      <right style="thin">
        <color theme="0" tint="-0.499984740745262"/>
      </right>
      <top/>
      <bottom/>
      <diagonal/>
    </border>
    <border>
      <left/>
      <right style="thin">
        <color theme="0" tint="-0.499984740745262"/>
      </right>
      <top/>
      <bottom style="medium">
        <color indexed="64"/>
      </bottom>
      <diagonal/>
    </border>
    <border>
      <left/>
      <right style="thin">
        <color theme="0" tint="-0.499984740745262"/>
      </right>
      <top/>
      <bottom/>
      <diagonal/>
    </border>
    <border>
      <left/>
      <right/>
      <top style="medium">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3">
    <xf numFmtId="0" fontId="0" fillId="0" borderId="0" xfId="0"/>
    <xf numFmtId="49" fontId="1" fillId="0" borderId="0" xfId="0" applyNumberFormat="1" applyFont="1" applyAlignment="1">
      <alignment horizontal="center" vertical="center"/>
    </xf>
    <xf numFmtId="49" fontId="2" fillId="0" borderId="1" xfId="0" applyNumberFormat="1" applyFont="1" applyBorder="1" applyAlignment="1">
      <alignment horizontal="left" vertical="center" wrapText="1"/>
    </xf>
    <xf numFmtId="0" fontId="1" fillId="0" borderId="0" xfId="0" applyFont="1" applyAlignment="1">
      <alignment horizontal="center" wrapText="1"/>
    </xf>
    <xf numFmtId="49" fontId="1" fillId="0" borderId="0" xfId="0" applyNumberFormat="1" applyFont="1" applyAlignment="1">
      <alignment horizontal="center" vertical="center" wrapText="1"/>
    </xf>
    <xf numFmtId="0" fontId="0" fillId="3" borderId="0" xfId="0" applyFill="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wrapText="1"/>
    </xf>
    <xf numFmtId="49" fontId="2" fillId="2" borderId="0" xfId="0" applyNumberFormat="1" applyFont="1" applyFill="1" applyAlignment="1">
      <alignment vertical="top" wrapText="1"/>
    </xf>
    <xf numFmtId="49" fontId="2" fillId="0" borderId="3" xfId="0" applyNumberFormat="1" applyFont="1" applyBorder="1" applyAlignment="1">
      <alignment horizontal="left" vertical="center" wrapText="1"/>
    </xf>
    <xf numFmtId="49" fontId="1" fillId="0" borderId="2" xfId="0" applyNumberFormat="1" applyFont="1" applyBorder="1" applyAlignment="1">
      <alignment horizontal="center" vertical="center" wrapText="1"/>
    </xf>
    <xf numFmtId="0" fontId="5" fillId="0" borderId="2" xfId="0" applyFont="1" applyBorder="1" applyAlignment="1">
      <alignment vertical="top" wrapText="1"/>
    </xf>
    <xf numFmtId="49" fontId="1" fillId="3" borderId="2" xfId="0" applyNumberFormat="1"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49" fontId="0" fillId="0" borderId="2" xfId="0" applyNumberFormat="1" applyBorder="1" applyAlignment="1">
      <alignment horizontal="center" vertical="center" wrapText="1"/>
    </xf>
    <xf numFmtId="0" fontId="0" fillId="0" borderId="2" xfId="0" quotePrefix="1" applyBorder="1" applyAlignment="1">
      <alignment vertical="top" wrapText="1"/>
    </xf>
    <xf numFmtId="49" fontId="0" fillId="3" borderId="2" xfId="0" applyNumberFormat="1" applyFill="1" applyBorder="1" applyAlignment="1">
      <alignment horizontal="center" vertical="center" wrapText="1"/>
    </xf>
    <xf numFmtId="0" fontId="0" fillId="3" borderId="2" xfId="0" quotePrefix="1" applyFill="1" applyBorder="1" applyAlignment="1">
      <alignment vertical="top" wrapText="1"/>
    </xf>
    <xf numFmtId="14" fontId="0" fillId="0" borderId="0" xfId="0" applyNumberFormat="1" applyAlignment="1">
      <alignment horizontal="center" wrapText="1"/>
    </xf>
    <xf numFmtId="0" fontId="1" fillId="0" borderId="0" xfId="0" applyFont="1" applyAlignment="1">
      <alignment horizontal="center"/>
    </xf>
    <xf numFmtId="0" fontId="0" fillId="8" borderId="0" xfId="0" applyFill="1"/>
    <xf numFmtId="0" fontId="0" fillId="8" borderId="0" xfId="0" applyFill="1" applyAlignment="1">
      <alignment wrapText="1"/>
    </xf>
    <xf numFmtId="0" fontId="1" fillId="8" borderId="0" xfId="0" applyFont="1" applyFill="1" applyAlignment="1">
      <alignment horizontal="center" vertical="center" wrapText="1"/>
    </xf>
    <xf numFmtId="0" fontId="2" fillId="8" borderId="0" xfId="0" applyFont="1" applyFill="1" applyAlignment="1">
      <alignment horizontal="left" vertical="top" wrapText="1"/>
    </xf>
    <xf numFmtId="0" fontId="7" fillId="8" borderId="0" xfId="0" applyFont="1" applyFill="1" applyAlignment="1">
      <alignment horizontal="left" vertical="top"/>
    </xf>
    <xf numFmtId="0" fontId="0" fillId="8" borderId="0" xfId="0" applyFill="1" applyAlignment="1">
      <alignment horizontal="left" wrapText="1"/>
    </xf>
    <xf numFmtId="0" fontId="0" fillId="8" borderId="0" xfId="0" applyFill="1" applyAlignment="1">
      <alignment horizontal="center"/>
    </xf>
    <xf numFmtId="49" fontId="1" fillId="8" borderId="0" xfId="0" applyNumberFormat="1" applyFont="1" applyFill="1" applyAlignment="1">
      <alignment horizontal="left" vertical="center"/>
    </xf>
    <xf numFmtId="49" fontId="1" fillId="8" borderId="0" xfId="0" applyNumberFormat="1" applyFont="1" applyFill="1" applyAlignment="1">
      <alignment horizontal="center" vertical="center"/>
    </xf>
    <xf numFmtId="49" fontId="1" fillId="8" borderId="0" xfId="0" applyNumberFormat="1" applyFont="1" applyFill="1" applyAlignment="1">
      <alignment horizontal="left" vertical="top"/>
    </xf>
    <xf numFmtId="49" fontId="1" fillId="8" borderId="0" xfId="0" applyNumberFormat="1" applyFont="1" applyFill="1" applyAlignment="1">
      <alignment vertical="center"/>
    </xf>
    <xf numFmtId="49" fontId="0" fillId="8" borderId="0" xfId="0" applyNumberFormat="1" applyFill="1" applyAlignment="1">
      <alignment vertical="center"/>
    </xf>
    <xf numFmtId="0" fontId="2" fillId="0" borderId="0" xfId="0" applyFont="1" applyAlignment="1">
      <alignment horizontal="left" vertical="top" wrapText="1"/>
    </xf>
    <xf numFmtId="0" fontId="0" fillId="8" borderId="0" xfId="0" applyFill="1" applyAlignment="1">
      <alignment vertical="center"/>
    </xf>
    <xf numFmtId="0" fontId="0" fillId="2" borderId="0" xfId="0" applyFill="1" applyAlignment="1">
      <alignment vertical="top" wrapText="1"/>
    </xf>
    <xf numFmtId="0" fontId="2" fillId="0" borderId="5" xfId="0" applyFont="1" applyBorder="1" applyAlignment="1">
      <alignment vertical="center" wrapText="1"/>
    </xf>
    <xf numFmtId="0" fontId="0" fillId="0" borderId="6" xfId="0" quotePrefix="1" applyBorder="1" applyAlignment="1">
      <alignment vertical="top" wrapText="1"/>
    </xf>
    <xf numFmtId="49" fontId="2" fillId="0" borderId="5" xfId="0" applyNumberFormat="1" applyFont="1" applyBorder="1" applyAlignment="1">
      <alignment horizontal="left" vertical="center" wrapText="1"/>
    </xf>
    <xf numFmtId="0" fontId="5" fillId="0" borderId="6" xfId="0" applyFont="1" applyBorder="1" applyAlignment="1">
      <alignment vertical="top" wrapText="1"/>
    </xf>
    <xf numFmtId="0" fontId="0" fillId="3" borderId="6" xfId="0" applyFill="1" applyBorder="1" applyAlignment="1">
      <alignment vertical="top" wrapText="1"/>
    </xf>
    <xf numFmtId="0" fontId="0" fillId="0" borderId="6" xfId="0" applyBorder="1" applyAlignment="1">
      <alignment vertical="top" wrapText="1"/>
    </xf>
    <xf numFmtId="0" fontId="0" fillId="3" borderId="6" xfId="0" quotePrefix="1" applyFill="1" applyBorder="1" applyAlignment="1">
      <alignment vertical="top" wrapText="1"/>
    </xf>
    <xf numFmtId="49" fontId="2" fillId="0" borderId="7" xfId="0" applyNumberFormat="1" applyFont="1" applyBorder="1" applyAlignment="1">
      <alignment horizontal="left" vertical="center" wrapText="1"/>
    </xf>
    <xf numFmtId="49" fontId="1" fillId="0" borderId="8" xfId="0" applyNumberFormat="1" applyFont="1" applyBorder="1" applyAlignment="1">
      <alignment horizontal="center" vertical="center"/>
    </xf>
    <xf numFmtId="49" fontId="1" fillId="3" borderId="8" xfId="0" applyNumberFormat="1" applyFont="1" applyFill="1" applyBorder="1" applyAlignment="1">
      <alignment horizontal="center" vertical="center"/>
    </xf>
    <xf numFmtId="49" fontId="0" fillId="8" borderId="0" xfId="0" applyNumberFormat="1" applyFill="1" applyAlignment="1">
      <alignment vertical="top"/>
    </xf>
    <xf numFmtId="49" fontId="1" fillId="8" borderId="0" xfId="0" applyNumberFormat="1" applyFont="1" applyFill="1" applyAlignment="1">
      <alignment horizontal="left" vertical="center" wrapText="1"/>
    </xf>
    <xf numFmtId="0" fontId="0" fillId="8" borderId="0" xfId="0" applyFill="1" applyAlignment="1">
      <alignment vertical="top" wrapText="1"/>
    </xf>
    <xf numFmtId="49" fontId="2" fillId="0" borderId="9" xfId="0" applyNumberFormat="1" applyFont="1" applyBorder="1" applyAlignment="1">
      <alignment vertical="center" wrapText="1"/>
    </xf>
    <xf numFmtId="49" fontId="0" fillId="0" borderId="10" xfId="0" applyNumberFormat="1" applyBorder="1" applyAlignment="1">
      <alignment vertical="top"/>
    </xf>
    <xf numFmtId="49" fontId="1" fillId="3" borderId="10" xfId="0" applyNumberFormat="1" applyFont="1" applyFill="1" applyBorder="1" applyAlignment="1">
      <alignment vertical="top"/>
    </xf>
    <xf numFmtId="49" fontId="0" fillId="3" borderId="10" xfId="0" applyNumberFormat="1" applyFill="1" applyBorder="1" applyAlignment="1">
      <alignment vertical="top"/>
    </xf>
    <xf numFmtId="0" fontId="3" fillId="8" borderId="0" xfId="0" applyFont="1" applyFill="1" applyAlignment="1">
      <alignment vertical="center"/>
    </xf>
    <xf numFmtId="0" fontId="0" fillId="8" borderId="0" xfId="0" applyFill="1" applyAlignment="1">
      <alignment horizontal="left" vertical="top" wrapText="1"/>
    </xf>
    <xf numFmtId="49" fontId="1" fillId="8" borderId="0" xfId="0" applyNumberFormat="1" applyFont="1" applyFill="1" applyAlignment="1">
      <alignment horizontal="center" vertical="center" wrapText="1"/>
    </xf>
    <xf numFmtId="49" fontId="0" fillId="2" borderId="0" xfId="0" applyNumberFormat="1" applyFill="1" applyAlignment="1">
      <alignment vertical="top"/>
    </xf>
    <xf numFmtId="49" fontId="1" fillId="2" borderId="0" xfId="0" applyNumberFormat="1" applyFont="1" applyFill="1" applyAlignment="1">
      <alignment horizontal="center" vertical="center"/>
    </xf>
    <xf numFmtId="49" fontId="0" fillId="8" borderId="1" xfId="0" applyNumberFormat="1" applyFill="1" applyBorder="1" applyAlignment="1">
      <alignment vertical="top"/>
    </xf>
    <xf numFmtId="49" fontId="1" fillId="8" borderId="1" xfId="0" applyNumberFormat="1" applyFont="1" applyFill="1" applyBorder="1" applyAlignment="1">
      <alignment horizontal="center" vertical="center"/>
    </xf>
    <xf numFmtId="49" fontId="1" fillId="8" borderId="1" xfId="0" applyNumberFormat="1" applyFont="1" applyFill="1" applyBorder="1" applyAlignment="1">
      <alignment horizontal="left" vertical="center" wrapText="1"/>
    </xf>
    <xf numFmtId="0" fontId="0" fillId="8" borderId="1" xfId="0" applyFill="1" applyBorder="1"/>
    <xf numFmtId="49" fontId="0" fillId="2" borderId="1" xfId="0" applyNumberFormat="1" applyFill="1" applyBorder="1" applyAlignment="1">
      <alignment vertical="top"/>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0" fillId="2" borderId="1" xfId="0" applyFill="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center" wrapText="1"/>
    </xf>
    <xf numFmtId="14" fontId="0" fillId="0" borderId="1" xfId="0" applyNumberFormat="1" applyBorder="1" applyAlignment="1">
      <alignment horizont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49" fontId="0" fillId="8" borderId="1" xfId="0" applyNumberFormat="1" applyFill="1" applyBorder="1" applyAlignment="1">
      <alignment vertical="center"/>
    </xf>
    <xf numFmtId="49" fontId="1" fillId="8" borderId="1" xfId="0" applyNumberFormat="1" applyFont="1" applyFill="1" applyBorder="1" applyAlignment="1">
      <alignment horizontal="left" vertical="top"/>
    </xf>
    <xf numFmtId="0" fontId="2" fillId="0" borderId="1" xfId="0" applyFont="1" applyBorder="1" applyAlignment="1">
      <alignment horizontal="left" vertical="center" wrapText="1"/>
    </xf>
    <xf numFmtId="0" fontId="6" fillId="8" borderId="0" xfId="0" applyFont="1" applyFill="1" applyAlignment="1">
      <alignment vertical="top"/>
    </xf>
    <xf numFmtId="0" fontId="2" fillId="8" borderId="0" xfId="0" applyFont="1" applyFill="1" applyAlignment="1">
      <alignment horizontal="left" vertical="center" wrapText="1"/>
    </xf>
    <xf numFmtId="0" fontId="2" fillId="2"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0" fontId="5" fillId="2" borderId="0" xfId="0" applyFont="1" applyFill="1" applyAlignment="1">
      <alignment vertical="top" wrapText="1"/>
    </xf>
    <xf numFmtId="0" fontId="0" fillId="2" borderId="0" xfId="0" quotePrefix="1" applyFill="1" applyAlignment="1">
      <alignment vertical="top" wrapText="1"/>
    </xf>
    <xf numFmtId="0" fontId="1" fillId="12" borderId="0" xfId="0" applyFont="1" applyFill="1" applyAlignment="1">
      <alignment horizontal="center" wrapText="1"/>
    </xf>
    <xf numFmtId="0" fontId="1" fillId="13" borderId="0" xfId="0" applyFont="1" applyFill="1" applyAlignment="1">
      <alignment horizontal="center" wrapText="1"/>
    </xf>
    <xf numFmtId="0" fontId="1" fillId="9" borderId="1" xfId="0" applyFont="1" applyFill="1" applyBorder="1" applyAlignment="1">
      <alignment horizontal="center" wrapText="1"/>
    </xf>
    <xf numFmtId="0" fontId="1" fillId="0" borderId="1" xfId="0" applyFont="1" applyBorder="1" applyAlignment="1">
      <alignment horizontal="center"/>
    </xf>
    <xf numFmtId="0" fontId="0" fillId="0" borderId="0" xfId="0" quotePrefix="1" applyAlignment="1">
      <alignment vertical="top" wrapText="1"/>
    </xf>
    <xf numFmtId="0" fontId="0" fillId="8" borderId="1" xfId="0" applyFill="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1" fillId="3" borderId="6" xfId="0" applyFont="1" applyFill="1" applyBorder="1" applyAlignment="1">
      <alignment vertical="top" wrapText="1"/>
    </xf>
    <xf numFmtId="0" fontId="1" fillId="3" borderId="0" xfId="0" applyFont="1" applyFill="1" applyAlignment="1">
      <alignment vertical="top" wrapText="1"/>
    </xf>
    <xf numFmtId="0" fontId="6" fillId="5" borderId="1" xfId="0" applyFont="1" applyFill="1" applyBorder="1" applyAlignment="1">
      <alignment vertical="top"/>
    </xf>
    <xf numFmtId="0" fontId="0" fillId="8" borderId="0" xfId="0" applyFill="1" applyAlignment="1">
      <alignment horizontal="center" vertical="top"/>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0" borderId="0" xfId="0" applyAlignment="1">
      <alignment vertical="top"/>
    </xf>
    <xf numFmtId="0" fontId="10" fillId="0" borderId="0" xfId="0" applyFont="1" applyAlignment="1">
      <alignment horizontal="left" vertical="top" wrapText="1"/>
    </xf>
    <xf numFmtId="0" fontId="1" fillId="0" borderId="0" xfId="0" applyFont="1" applyAlignment="1">
      <alignment horizontal="center" vertical="center"/>
    </xf>
    <xf numFmtId="49" fontId="1" fillId="3" borderId="0" xfId="0" applyNumberFormat="1" applyFont="1" applyFill="1" applyAlignment="1">
      <alignment horizontal="center" vertical="center" wrapText="1"/>
    </xf>
    <xf numFmtId="49" fontId="2" fillId="4" borderId="0" xfId="0" applyNumberFormat="1" applyFont="1" applyFill="1" applyAlignment="1">
      <alignment horizontal="left" vertical="center" wrapText="1"/>
    </xf>
    <xf numFmtId="49" fontId="0" fillId="3" borderId="0" xfId="0" applyNumberFormat="1" applyFill="1" applyAlignment="1">
      <alignment horizontal="center" vertical="center" wrapText="1"/>
    </xf>
    <xf numFmtId="49" fontId="1" fillId="2" borderId="11" xfId="0" applyNumberFormat="1" applyFont="1" applyFill="1" applyBorder="1" applyAlignment="1">
      <alignment horizontal="center" vertical="center" wrapText="1"/>
    </xf>
    <xf numFmtId="0" fontId="1" fillId="0" borderId="21" xfId="0" applyFont="1" applyBorder="1" applyAlignment="1">
      <alignment horizontal="center"/>
    </xf>
    <xf numFmtId="49" fontId="1" fillId="2" borderId="0" xfId="0" applyNumberFormat="1" applyFont="1" applyFill="1" applyAlignment="1">
      <alignment horizontal="center" vertical="center" wrapText="1"/>
    </xf>
    <xf numFmtId="49" fontId="0" fillId="0" borderId="10" xfId="0" quotePrefix="1" applyNumberFormat="1" applyBorder="1" applyAlignment="1">
      <alignment vertical="top"/>
    </xf>
    <xf numFmtId="49" fontId="2" fillId="0" borderId="9" xfId="0" applyNumberFormat="1" applyFont="1" applyBorder="1" applyAlignment="1">
      <alignment vertical="top" wrapText="1"/>
    </xf>
    <xf numFmtId="49" fontId="1" fillId="2" borderId="0" xfId="0" applyNumberFormat="1" applyFont="1" applyFill="1" applyAlignment="1">
      <alignment vertical="top"/>
    </xf>
    <xf numFmtId="49" fontId="0" fillId="8" borderId="0" xfId="0" quotePrefix="1" applyNumberFormat="1" applyFill="1" applyAlignment="1">
      <alignment vertical="top"/>
    </xf>
    <xf numFmtId="14" fontId="5" fillId="0" borderId="6" xfId="0" applyNumberFormat="1" applyFont="1" applyBorder="1" applyAlignment="1">
      <alignment vertical="top" wrapText="1"/>
    </xf>
    <xf numFmtId="0" fontId="5" fillId="0" borderId="6" xfId="0" quotePrefix="1" applyFont="1" applyBorder="1" applyAlignment="1">
      <alignment vertical="top" wrapText="1"/>
    </xf>
    <xf numFmtId="49" fontId="0" fillId="0" borderId="2" xfId="0" applyNumberFormat="1" applyBorder="1" applyAlignment="1">
      <alignment vertical="top" wrapText="1"/>
    </xf>
    <xf numFmtId="49" fontId="0" fillId="3" borderId="2" xfId="0" applyNumberFormat="1" applyFill="1" applyBorder="1" applyAlignment="1">
      <alignment vertical="top" wrapText="1"/>
    </xf>
    <xf numFmtId="0" fontId="2" fillId="2" borderId="1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3" fillId="7" borderId="12" xfId="0" applyFont="1" applyFill="1" applyBorder="1" applyAlignment="1">
      <alignment horizontal="center" vertical="center"/>
    </xf>
    <xf numFmtId="0" fontId="13" fillId="7" borderId="13" xfId="0" applyFont="1" applyFill="1" applyBorder="1" applyAlignment="1">
      <alignment horizontal="center" vertical="center"/>
    </xf>
    <xf numFmtId="0" fontId="13" fillId="7" borderId="14" xfId="0" applyFont="1" applyFill="1" applyBorder="1" applyAlignment="1">
      <alignment horizontal="center" vertical="center"/>
    </xf>
    <xf numFmtId="0" fontId="0" fillId="8" borderId="15" xfId="0" quotePrefix="1" applyFill="1" applyBorder="1" applyAlignment="1">
      <alignment horizontal="left" vertical="top" wrapText="1"/>
    </xf>
    <xf numFmtId="0" fontId="0" fillId="8" borderId="11" xfId="0" applyFill="1" applyBorder="1" applyAlignment="1">
      <alignment horizontal="left" vertical="top"/>
    </xf>
    <xf numFmtId="0" fontId="0" fillId="8" borderId="16" xfId="0" applyFill="1" applyBorder="1" applyAlignment="1">
      <alignment horizontal="left" vertical="top"/>
    </xf>
    <xf numFmtId="0" fontId="0" fillId="8" borderId="17" xfId="0" applyFill="1" applyBorder="1" applyAlignment="1">
      <alignment horizontal="left" vertical="top"/>
    </xf>
    <xf numFmtId="0" fontId="0" fillId="8" borderId="0" xfId="0" applyFill="1" applyAlignment="1">
      <alignment horizontal="left" vertical="top"/>
    </xf>
    <xf numFmtId="0" fontId="0" fillId="8" borderId="18" xfId="0" applyFill="1" applyBorder="1" applyAlignment="1">
      <alignment horizontal="left" vertical="top"/>
    </xf>
    <xf numFmtId="0" fontId="0" fillId="8" borderId="19" xfId="0" applyFill="1" applyBorder="1" applyAlignment="1">
      <alignment horizontal="left" vertical="top"/>
    </xf>
    <xf numFmtId="0" fontId="0" fillId="8" borderId="1" xfId="0" applyFill="1" applyBorder="1" applyAlignment="1">
      <alignment horizontal="left" vertical="top"/>
    </xf>
    <xf numFmtId="0" fontId="0" fillId="8" borderId="20" xfId="0" applyFill="1" applyBorder="1" applyAlignment="1">
      <alignment horizontal="left" vertical="top"/>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top"/>
    </xf>
    <xf numFmtId="0" fontId="6" fillId="5" borderId="0" xfId="0" applyFont="1" applyFill="1" applyAlignment="1">
      <alignment horizontal="center" vertical="top"/>
    </xf>
    <xf numFmtId="0" fontId="7" fillId="0" borderId="0" xfId="0" applyFont="1" applyAlignment="1">
      <alignment horizontal="center" vertical="center"/>
    </xf>
    <xf numFmtId="0" fontId="9" fillId="0" borderId="0" xfId="0" applyFont="1" applyAlignment="1">
      <alignment horizontal="center" vertical="center"/>
    </xf>
    <xf numFmtId="49" fontId="7" fillId="0" borderId="1" xfId="0" applyNumberFormat="1" applyFont="1" applyBorder="1" applyAlignment="1">
      <alignment horizontal="center" vertical="center" wrapText="1"/>
    </xf>
    <xf numFmtId="0" fontId="0" fillId="0" borderId="0" xfId="0" applyAlignment="1">
      <alignment horizontal="left"/>
    </xf>
    <xf numFmtId="0" fontId="0" fillId="0" borderId="1" xfId="0" applyBorder="1" applyAlignment="1">
      <alignment horizontal="left"/>
    </xf>
    <xf numFmtId="0" fontId="2" fillId="0" borderId="1" xfId="0" applyFont="1" applyBorder="1" applyAlignment="1">
      <alignment horizontal="center" wrapText="1"/>
    </xf>
    <xf numFmtId="0" fontId="2" fillId="0" borderId="13" xfId="0" applyFont="1" applyBorder="1" applyAlignment="1">
      <alignment horizontal="center" wrapText="1"/>
    </xf>
    <xf numFmtId="0" fontId="6" fillId="5" borderId="1" xfId="0" applyFont="1" applyFill="1" applyBorder="1" applyAlignment="1">
      <alignment horizontal="left" vertical="top"/>
    </xf>
    <xf numFmtId="0" fontId="2" fillId="2" borderId="13" xfId="0"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49" fontId="1" fillId="2" borderId="0" xfId="0" applyNumberFormat="1" applyFont="1" applyFill="1" applyAlignment="1">
      <alignment horizontal="center" vertical="center" wrapText="1"/>
    </xf>
  </cellXfs>
  <cellStyles count="1">
    <cellStyle name="Normal" xfId="0" builtinId="0"/>
  </cellStyles>
  <dxfs count="300">
    <dxf>
      <fill>
        <patternFill>
          <bgColor rgb="FFFFFF99"/>
        </patternFill>
      </fill>
    </dxf>
    <dxf>
      <fill>
        <patternFill>
          <bgColor rgb="FFFFD299"/>
        </patternFill>
      </fill>
    </dxf>
    <dxf>
      <fill>
        <patternFill>
          <bgColor rgb="FFFFA082"/>
        </patternFill>
      </fill>
    </dxf>
    <dxf>
      <fill>
        <patternFill>
          <bgColor rgb="FFFF7171"/>
        </patternFill>
      </fill>
    </dxf>
    <dxf>
      <fill>
        <patternFill>
          <bgColor theme="0" tint="-0.24994659260841701"/>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rgb="FFBFBFBF"/>
        </patternFill>
      </fill>
    </dxf>
    <dxf>
      <fill>
        <patternFill>
          <bgColor rgb="FFFFA082"/>
        </patternFill>
      </fill>
    </dxf>
    <dxf>
      <fill>
        <patternFill>
          <bgColor theme="0" tint="-0.24994659260841701"/>
        </patternFill>
      </fill>
    </dxf>
    <dxf>
      <fill>
        <patternFill>
          <bgColor rgb="FFFFD299"/>
        </patternFill>
      </fill>
    </dxf>
    <dxf>
      <fill>
        <patternFill>
          <bgColor rgb="FFFF7171"/>
        </patternFill>
      </fill>
    </dxf>
    <dxf>
      <fill>
        <patternFill>
          <bgColor rgb="FFFFFF99"/>
        </patternFill>
      </fill>
    </dxf>
    <dxf>
      <fill>
        <patternFill>
          <bgColor rgb="FFFFFF99"/>
        </patternFill>
      </fill>
    </dxf>
    <dxf>
      <fill>
        <patternFill>
          <bgColor rgb="FFFFFF99"/>
        </patternFill>
      </fill>
    </dxf>
    <dxf>
      <fill>
        <patternFill>
          <bgColor rgb="FFBFBFBF"/>
        </patternFill>
      </fill>
    </dxf>
    <dxf>
      <fill>
        <patternFill>
          <bgColor theme="0" tint="-0.24994659260841701"/>
        </patternFill>
      </fill>
    </dxf>
    <dxf>
      <fill>
        <patternFill>
          <bgColor rgb="FFFF7171"/>
        </patternFill>
      </fill>
    </dxf>
    <dxf>
      <fill>
        <patternFill>
          <bgColor rgb="FFFFA082"/>
        </patternFill>
      </fill>
    </dxf>
    <dxf>
      <fill>
        <patternFill>
          <bgColor rgb="FFFFD299"/>
        </patternFill>
      </fill>
    </dxf>
    <dxf>
      <fill>
        <patternFill>
          <bgColor rgb="FFFFA082"/>
        </patternFill>
      </fill>
    </dxf>
    <dxf>
      <fill>
        <patternFill>
          <bgColor rgb="FFFFD299"/>
        </patternFill>
      </fill>
    </dxf>
    <dxf>
      <fill>
        <patternFill>
          <bgColor rgb="FFFF7171"/>
        </patternFill>
      </fill>
    </dxf>
    <dxf>
      <fill>
        <patternFill>
          <bgColor rgb="FFFF7171"/>
        </patternFill>
      </fill>
    </dxf>
    <dxf>
      <fill>
        <patternFill>
          <bgColor rgb="FFFFA082"/>
        </patternFill>
      </fill>
    </dxf>
    <dxf>
      <fill>
        <patternFill>
          <bgColor rgb="FFFFA082"/>
        </patternFill>
      </fill>
    </dxf>
    <dxf>
      <fill>
        <patternFill>
          <bgColor rgb="FFFFD299"/>
        </patternFill>
      </fill>
    </dxf>
    <dxf>
      <fill>
        <patternFill>
          <bgColor rgb="FFFFFF99"/>
        </patternFill>
      </fill>
    </dxf>
    <dxf>
      <fill>
        <patternFill>
          <bgColor rgb="FFFFD299"/>
        </patternFill>
      </fill>
    </dxf>
    <dxf>
      <fill>
        <patternFill>
          <bgColor rgb="FFFFFF99"/>
        </patternFill>
      </fill>
    </dxf>
    <dxf>
      <fill>
        <patternFill>
          <bgColor rgb="FFBFBFBF"/>
        </patternFill>
      </fill>
    </dxf>
    <dxf>
      <fill>
        <patternFill>
          <bgColor theme="0" tint="-0.24994659260841701"/>
        </patternFill>
      </fill>
    </dxf>
    <dxf>
      <fill>
        <patternFill>
          <bgColor rgb="FFFF7171"/>
        </patternFill>
      </fill>
    </dxf>
    <dxf>
      <fill>
        <patternFill>
          <bgColor rgb="FFFF7171"/>
        </patternFill>
      </fill>
    </dxf>
    <dxf>
      <fill>
        <patternFill>
          <bgColor rgb="FFFF7171"/>
        </patternFill>
      </fill>
    </dxf>
    <dxf>
      <fill>
        <patternFill>
          <bgColor rgb="FFFFA082"/>
        </patternFill>
      </fill>
    </dxf>
    <dxf>
      <fill>
        <patternFill>
          <bgColor rgb="FFFFA082"/>
        </patternFill>
      </fill>
    </dxf>
    <dxf>
      <fill>
        <patternFill>
          <bgColor rgb="FFFFFF99"/>
        </patternFill>
      </fill>
    </dxf>
    <dxf>
      <fill>
        <patternFill>
          <bgColor rgb="FFFFFF99"/>
        </patternFill>
      </fill>
    </dxf>
    <dxf>
      <fill>
        <patternFill>
          <bgColor rgb="FFBFBFBF"/>
        </patternFill>
      </fill>
    </dxf>
    <dxf>
      <fill>
        <patternFill>
          <bgColor rgb="FFFFD299"/>
        </patternFill>
      </fill>
    </dxf>
    <dxf>
      <fill>
        <patternFill>
          <bgColor rgb="FFFFD299"/>
        </patternFill>
      </fill>
    </dxf>
    <dxf>
      <fill>
        <patternFill>
          <bgColor theme="0" tint="-0.24994659260841701"/>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rgb="FFFFD299"/>
        </patternFill>
      </fill>
    </dxf>
    <dxf>
      <fill>
        <patternFill>
          <bgColor rgb="FFFF7171"/>
        </patternFill>
      </fill>
    </dxf>
    <dxf>
      <fill>
        <patternFill>
          <bgColor rgb="FFFF7171"/>
        </patternFill>
      </fill>
    </dxf>
    <dxf>
      <fill>
        <patternFill>
          <bgColor rgb="FFFFD299"/>
        </patternFill>
      </fill>
    </dxf>
    <dxf>
      <fill>
        <patternFill>
          <bgColor rgb="FFFFFF99"/>
        </patternFill>
      </fill>
    </dxf>
    <dxf>
      <fill>
        <patternFill>
          <bgColor rgb="FFFFFF99"/>
        </patternFill>
      </fill>
    </dxf>
    <dxf>
      <fill>
        <patternFill>
          <bgColor rgb="FFBFBFBF"/>
        </patternFill>
      </fill>
    </dxf>
    <dxf>
      <fill>
        <patternFill>
          <bgColor rgb="FFFFA082"/>
        </patternFill>
      </fill>
    </dxf>
    <dxf>
      <fill>
        <patternFill>
          <bgColor rgb="FFFFA082"/>
        </patternFill>
      </fill>
    </dxf>
    <dxf>
      <fill>
        <patternFill>
          <bgColor theme="0" tint="-0.24994659260841701"/>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rgb="FFFFA082"/>
        </patternFill>
      </fill>
    </dxf>
    <dxf>
      <fill>
        <patternFill>
          <bgColor theme="0" tint="-0.34998626667073579"/>
        </patternFill>
      </fill>
    </dxf>
    <dxf>
      <fill>
        <patternFill>
          <bgColor rgb="FFFFFF99"/>
        </patternFill>
      </fill>
    </dxf>
    <dxf>
      <fill>
        <patternFill>
          <bgColor rgb="FFFF7171"/>
        </patternFill>
      </fill>
    </dxf>
    <dxf>
      <fill>
        <patternFill>
          <bgColor rgb="FFFFD299"/>
        </patternFill>
      </fill>
    </dxf>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rgb="FFFFFF99"/>
        </patternFill>
      </fill>
    </dxf>
    <dxf>
      <fill>
        <patternFill>
          <bgColor rgb="FFFF7171"/>
        </patternFill>
      </fill>
    </dxf>
    <dxf>
      <fill>
        <patternFill>
          <bgColor rgb="FFFFA082"/>
        </patternFill>
      </fill>
    </dxf>
    <dxf>
      <fill>
        <patternFill>
          <bgColor rgb="FFFFD299"/>
        </patternFill>
      </fill>
    </dxf>
    <dxf>
      <fill>
        <patternFill>
          <bgColor theme="0" tint="-0.34998626667073579"/>
        </patternFill>
      </fill>
    </dxf>
    <dxf>
      <fill>
        <patternFill>
          <bgColor rgb="FFFFD299"/>
        </patternFill>
      </fill>
    </dxf>
    <dxf>
      <fill>
        <patternFill>
          <bgColor rgb="FFFFA082"/>
        </patternFill>
      </fill>
    </dxf>
    <dxf>
      <fill>
        <patternFill>
          <bgColor rgb="FFFFFF99"/>
        </patternFill>
      </fill>
    </dxf>
    <dxf>
      <fill>
        <patternFill>
          <bgColor theme="0" tint="-0.34998626667073579"/>
        </patternFill>
      </fill>
    </dxf>
    <dxf>
      <fill>
        <patternFill>
          <bgColor rgb="FFFF7171"/>
        </patternFill>
      </fill>
    </dxf>
    <dxf>
      <fill>
        <patternFill>
          <bgColor rgb="FFFFD299"/>
        </patternFill>
      </fill>
    </dxf>
    <dxf>
      <fill>
        <patternFill>
          <bgColor rgb="FFFFFF99"/>
        </patternFill>
      </fill>
    </dxf>
    <dxf>
      <fill>
        <patternFill>
          <bgColor theme="0" tint="-0.34998626667073579"/>
        </patternFill>
      </fill>
    </dxf>
    <dxf>
      <fill>
        <patternFill>
          <bgColor rgb="FFFFA082"/>
        </patternFill>
      </fill>
    </dxf>
    <dxf>
      <fill>
        <patternFill>
          <bgColor rgb="FFFF7171"/>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rgb="FFFFFF99"/>
        </patternFill>
      </fill>
    </dxf>
    <dxf>
      <fill>
        <patternFill>
          <bgColor rgb="FFFF7171"/>
        </patternFill>
      </fill>
    </dxf>
    <dxf>
      <fill>
        <patternFill>
          <bgColor rgb="FFFFA082"/>
        </patternFill>
      </fill>
    </dxf>
    <dxf>
      <fill>
        <patternFill>
          <bgColor rgb="FFFFD299"/>
        </patternFill>
      </fill>
    </dxf>
    <dxf>
      <fill>
        <patternFill>
          <bgColor theme="0" tint="-0.34998626667073579"/>
        </patternFill>
      </fill>
    </dxf>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6" tint="0.39994506668294322"/>
        </patternFill>
      </fill>
    </dxf>
    <dxf>
      <fill>
        <patternFill>
          <bgColor rgb="FFFF7171"/>
        </patternFill>
      </fill>
    </dxf>
    <dxf>
      <fill>
        <patternFill>
          <bgColor theme="9" tint="0.39994506668294322"/>
        </patternFill>
      </fill>
    </dxf>
    <dxf>
      <fill>
        <patternFill>
          <bgColor rgb="FFFFFF99"/>
        </patternFill>
      </fill>
    </dxf>
    <dxf>
      <fill>
        <patternFill>
          <bgColor theme="0" tint="-0.34998626667073579"/>
        </patternFill>
      </fill>
    </dxf>
    <dxf>
      <fill>
        <patternFill>
          <bgColor theme="0" tint="-0.34998626667073579"/>
        </patternFill>
      </fill>
    </dxf>
    <dxf>
      <fill>
        <patternFill>
          <bgColor theme="9" tint="0.39994506668294322"/>
        </patternFill>
      </fill>
    </dxf>
    <dxf>
      <fill>
        <patternFill>
          <bgColor rgb="FFFFFF99"/>
        </patternFill>
      </fill>
    </dxf>
    <dxf>
      <fill>
        <patternFill>
          <bgColor rgb="FFFF7171"/>
        </patternFill>
      </fill>
    </dxf>
    <dxf>
      <fill>
        <patternFill>
          <bgColor theme="6"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6" tint="0.39994506668294322"/>
        </patternFill>
      </fill>
    </dxf>
    <dxf>
      <fill>
        <patternFill>
          <bgColor rgb="FFFFFF99"/>
        </patternFill>
      </fill>
    </dxf>
    <dxf>
      <fill>
        <patternFill>
          <bgColor theme="0" tint="-0.34998626667073579"/>
        </patternFill>
      </fill>
    </dxf>
    <dxf>
      <fill>
        <patternFill>
          <bgColor theme="9" tint="0.39994506668294322"/>
        </patternFill>
      </fill>
    </dxf>
    <dxf>
      <fill>
        <patternFill>
          <bgColor rgb="FFFF7171"/>
        </patternFill>
      </fill>
    </dxf>
    <dxf>
      <fill>
        <patternFill>
          <bgColor theme="9" tint="0.39994506668294322"/>
        </patternFill>
      </fill>
    </dxf>
    <dxf>
      <fill>
        <patternFill>
          <bgColor theme="0" tint="-0.34998626667073579"/>
        </patternFill>
      </fill>
    </dxf>
    <dxf>
      <fill>
        <patternFill>
          <bgColor rgb="FFFFFF99"/>
        </patternFill>
      </fill>
    </dxf>
    <dxf>
      <fill>
        <patternFill>
          <bgColor rgb="FFFF7171"/>
        </patternFill>
      </fill>
    </dxf>
    <dxf>
      <fill>
        <patternFill>
          <bgColor theme="6" tint="0.39994506668294322"/>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7171"/>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rgb="FFFF7171"/>
        </patternFill>
      </fill>
    </dxf>
    <dxf>
      <fill>
        <patternFill>
          <bgColor theme="6" tint="0.39994506668294322"/>
        </patternFill>
      </fill>
    </dxf>
    <dxf>
      <fill>
        <patternFill>
          <bgColor theme="0" tint="-0.34998626667073579"/>
        </patternFill>
      </fill>
    </dxf>
    <dxf>
      <fill>
        <patternFill>
          <bgColor rgb="FFFFFF99"/>
        </patternFill>
      </fill>
    </dxf>
    <dxf>
      <fill>
        <patternFill>
          <bgColor theme="9" tint="0.39994506668294322"/>
        </patternFill>
      </fill>
    </dxf>
    <dxf>
      <fill>
        <patternFill>
          <bgColor rgb="FFFF7171"/>
        </patternFill>
      </fill>
    </dxf>
    <dxf>
      <fill>
        <patternFill>
          <bgColor theme="6" tint="0.39994506668294322"/>
        </patternFill>
      </fill>
    </dxf>
    <dxf>
      <fill>
        <patternFill>
          <bgColor theme="0" tint="-0.34998626667073579"/>
        </patternFill>
      </fill>
    </dxf>
    <dxf>
      <fill>
        <patternFill>
          <bgColor rgb="FFFFFF99"/>
        </patternFill>
      </fill>
    </dxf>
    <dxf>
      <fill>
        <patternFill>
          <bgColor rgb="FFFFFF99"/>
        </patternFill>
      </fill>
    </dxf>
    <dxf>
      <fill>
        <patternFill>
          <bgColor rgb="FFFF7171"/>
        </patternFill>
      </fill>
    </dxf>
    <dxf>
      <fill>
        <patternFill>
          <bgColor theme="0" tint="-0.34998626667073579"/>
        </patternFill>
      </fill>
    </dxf>
    <dxf>
      <fill>
        <patternFill>
          <bgColor theme="6"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theme="0" tint="-0.34998626667073579"/>
        </patternFill>
      </fill>
    </dxf>
    <dxf>
      <fill>
        <patternFill>
          <bgColor theme="6" tint="0.39994506668294322"/>
        </patternFill>
      </fill>
    </dxf>
    <dxf>
      <fill>
        <patternFill>
          <bgColor theme="9" tint="0.39994506668294322"/>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7171"/>
        </patternFill>
      </fill>
    </dxf>
    <dxf>
      <fill>
        <patternFill>
          <bgColor rgb="FFFFFF99"/>
        </patternFill>
      </fill>
    </dxf>
    <dxf>
      <fill>
        <patternFill>
          <bgColor theme="9" tint="0.39994506668294322"/>
        </patternFill>
      </fill>
    </dxf>
    <dxf>
      <fill>
        <patternFill>
          <bgColor theme="0" tint="-0.34998626667073579"/>
        </patternFill>
      </fill>
    </dxf>
    <dxf>
      <fill>
        <patternFill>
          <bgColor rgb="FFFFFF99"/>
        </patternFill>
      </fill>
    </dxf>
    <dxf>
      <fill>
        <patternFill>
          <bgColor rgb="FFFF7171"/>
        </patternFill>
      </fill>
    </dxf>
    <dxf>
      <fill>
        <patternFill>
          <bgColor theme="9" tint="0.39994506668294322"/>
        </patternFill>
      </fill>
    </dxf>
    <dxf>
      <fill>
        <patternFill>
          <bgColor theme="6" tint="0.39994506668294322"/>
        </patternFill>
      </fill>
    </dxf>
    <dxf>
      <fill>
        <patternFill>
          <bgColor theme="6" tint="0.39994506668294322"/>
        </patternFill>
      </fill>
    </dxf>
    <dxf>
      <fill>
        <patternFill>
          <bgColor theme="9" tint="0.39994506668294322"/>
        </patternFill>
      </fill>
    </dxf>
    <dxf>
      <fill>
        <patternFill>
          <bgColor rgb="FFFF7171"/>
        </patternFill>
      </fill>
    </dxf>
    <dxf>
      <fill>
        <patternFill>
          <bgColor rgb="FFFFFF99"/>
        </patternFill>
      </fill>
    </dxf>
    <dxf>
      <fill>
        <patternFill>
          <bgColor theme="0" tint="-0.34998626667073579"/>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rgb="FFFF7171"/>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theme="9" tint="0.39994506668294322"/>
        </patternFill>
      </fill>
    </dxf>
    <dxf>
      <fill>
        <patternFill>
          <bgColor rgb="FFFF7171"/>
        </patternFill>
      </fill>
    </dxf>
    <dxf>
      <fill>
        <patternFill>
          <bgColor theme="6" tint="0.39994506668294322"/>
        </patternFill>
      </fill>
    </dxf>
    <dxf>
      <fill>
        <patternFill>
          <bgColor rgb="FFFFFF99"/>
        </patternFill>
      </fill>
    </dxf>
    <dxf>
      <fill>
        <patternFill>
          <bgColor theme="0" tint="-0.34998626667073579"/>
        </patternFill>
      </fill>
    </dxf>
    <dxf>
      <fill>
        <patternFill>
          <bgColor theme="9" tint="0.39994506668294322"/>
        </patternFill>
      </fill>
    </dxf>
    <dxf>
      <fill>
        <patternFill>
          <bgColor rgb="FFFFFF99"/>
        </patternFill>
      </fill>
    </dxf>
    <dxf>
      <fill>
        <patternFill>
          <bgColor rgb="FFFF7171"/>
        </patternFill>
      </fill>
    </dxf>
    <dxf>
      <fill>
        <patternFill>
          <bgColor theme="6" tint="0.39994506668294322"/>
        </patternFill>
      </fill>
    </dxf>
    <dxf>
      <fill>
        <patternFill>
          <bgColor theme="0" tint="-0.34998626667073579"/>
        </patternFill>
      </fill>
    </dxf>
    <dxf>
      <fill>
        <patternFill>
          <bgColor theme="6" tint="0.39994506668294322"/>
        </patternFill>
      </fill>
    </dxf>
    <dxf>
      <fill>
        <patternFill>
          <bgColor theme="0" tint="-0.34998626667073579"/>
        </patternFill>
      </fill>
    </dxf>
    <dxf>
      <fill>
        <patternFill>
          <bgColor rgb="FFFFFF99"/>
        </patternFill>
      </fill>
    </dxf>
    <dxf>
      <fill>
        <patternFill>
          <bgColor rgb="FFFF7171"/>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A082"/>
        </patternFill>
      </fill>
    </dxf>
    <dxf>
      <fill>
        <patternFill>
          <bgColor rgb="FFFF7171"/>
        </patternFill>
      </fill>
    </dxf>
    <dxf>
      <fill>
        <patternFill>
          <bgColor theme="0" tint="-0.34998626667073579"/>
        </patternFill>
      </fill>
    </dxf>
    <dxf>
      <fill>
        <patternFill>
          <bgColor rgb="FFFFFF99"/>
        </patternFill>
      </fill>
    </dxf>
    <dxf>
      <fill>
        <patternFill>
          <bgColor rgb="FFFFD299"/>
        </patternFill>
      </fill>
    </dxf>
    <dxf>
      <fill>
        <patternFill>
          <bgColor rgb="FFFFFF99"/>
        </patternFill>
      </fill>
    </dxf>
    <dxf>
      <fill>
        <patternFill>
          <bgColor theme="0" tint="-0.34998626667073579"/>
        </patternFill>
      </fill>
    </dxf>
    <dxf>
      <fill>
        <patternFill>
          <bgColor theme="9" tint="0.39994506668294322"/>
        </patternFill>
      </fill>
    </dxf>
    <dxf>
      <fill>
        <patternFill>
          <bgColor rgb="FFFF7171"/>
        </patternFill>
      </fill>
    </dxf>
    <dxf>
      <fill>
        <patternFill>
          <bgColor theme="6" tint="0.39994506668294322"/>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s>
  <tableStyles count="1" defaultTableStyle="TableStyleMedium2" defaultPivotStyle="PivotStyleLight16">
    <tableStyle name="Invisible" pivot="0" table="0" count="0" xr9:uid="{547FECAA-2729-4C7F-879E-7EB6EDDDD117}"/>
  </tableStyles>
  <colors>
    <mruColors>
      <color rgb="FFFF7171"/>
      <color rgb="FFFFA082"/>
      <color rgb="FFFFD299"/>
      <color rgb="FFFFFF99"/>
      <color rgb="FFBFBFBF"/>
      <color rgb="FFFCC88E"/>
      <color rgb="FFFB9E81"/>
      <color rgb="FFFBB88F"/>
      <color rgb="FFFAE390"/>
      <color rgb="FFF688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Titel!$D$35</c:f>
              <c:strCache>
                <c:ptCount val="1"/>
                <c:pt idx="0">
                  <c:v>0</c:v>
                </c:pt>
              </c:strCache>
            </c:strRef>
          </c:tx>
          <c:spPr>
            <a:solidFill>
              <a:schemeClr val="bg1">
                <a:lumMod val="65000"/>
              </a:schemeClr>
            </a:solidFill>
          </c:spPr>
          <c:invertIfNegative val="0"/>
          <c:val>
            <c:numRef>
              <c:f>Titel!$D$36:$D$38</c:f>
              <c:numCache>
                <c:formatCode>General</c:formatCode>
                <c:ptCount val="3"/>
                <c:pt idx="0">
                  <c:v>1</c:v>
                </c:pt>
                <c:pt idx="1">
                  <c:v>8</c:v>
                </c:pt>
                <c:pt idx="2">
                  <c:v>0</c:v>
                </c:pt>
              </c:numCache>
            </c:numRef>
          </c:val>
          <c:extLst>
            <c:ext xmlns:c16="http://schemas.microsoft.com/office/drawing/2014/chart" uri="{C3380CC4-5D6E-409C-BE32-E72D297353CC}">
              <c16:uniqueId val="{00000000-4954-4CE0-8390-87A278A1C98E}"/>
            </c:ext>
          </c:extLst>
        </c:ser>
        <c:ser>
          <c:idx val="1"/>
          <c:order val="1"/>
          <c:tx>
            <c:strRef>
              <c:f>Titel!$E$35</c:f>
              <c:strCache>
                <c:ptCount val="1"/>
                <c:pt idx="0">
                  <c:v>1</c:v>
                </c:pt>
              </c:strCache>
            </c:strRef>
          </c:tx>
          <c:spPr>
            <a:solidFill>
              <a:schemeClr val="accent3">
                <a:lumMod val="60000"/>
                <a:lumOff val="40000"/>
              </a:schemeClr>
            </a:solidFill>
          </c:spPr>
          <c:invertIfNegative val="0"/>
          <c:val>
            <c:numRef>
              <c:f>Titel!$E$36:$E$38</c:f>
              <c:numCache>
                <c:formatCode>General</c:formatCode>
                <c:ptCount val="3"/>
                <c:pt idx="0">
                  <c:v>20</c:v>
                </c:pt>
                <c:pt idx="1">
                  <c:v>56</c:v>
                </c:pt>
                <c:pt idx="2">
                  <c:v>0</c:v>
                </c:pt>
              </c:numCache>
            </c:numRef>
          </c:val>
          <c:extLst>
            <c:ext xmlns:c16="http://schemas.microsoft.com/office/drawing/2014/chart" uri="{C3380CC4-5D6E-409C-BE32-E72D297353CC}">
              <c16:uniqueId val="{00000001-4954-4CE0-8390-87A278A1C98E}"/>
            </c:ext>
          </c:extLst>
        </c:ser>
        <c:ser>
          <c:idx val="2"/>
          <c:order val="2"/>
          <c:tx>
            <c:strRef>
              <c:f>Titel!$F$35</c:f>
              <c:strCache>
                <c:ptCount val="1"/>
                <c:pt idx="0">
                  <c:v>2</c:v>
                </c:pt>
              </c:strCache>
            </c:strRef>
          </c:tx>
          <c:spPr>
            <a:solidFill>
              <a:srgbClr val="FFFF99"/>
            </a:solidFill>
          </c:spPr>
          <c:invertIfNegative val="0"/>
          <c:val>
            <c:numRef>
              <c:f>Titel!$F$36:$F$38</c:f>
              <c:numCache>
                <c:formatCode>General</c:formatCode>
                <c:ptCount val="3"/>
                <c:pt idx="0">
                  <c:v>9</c:v>
                </c:pt>
                <c:pt idx="1">
                  <c:v>21</c:v>
                </c:pt>
                <c:pt idx="2">
                  <c:v>0</c:v>
                </c:pt>
              </c:numCache>
            </c:numRef>
          </c:val>
          <c:extLst>
            <c:ext xmlns:c16="http://schemas.microsoft.com/office/drawing/2014/chart" uri="{C3380CC4-5D6E-409C-BE32-E72D297353CC}">
              <c16:uniqueId val="{00000002-4954-4CE0-8390-87A278A1C98E}"/>
            </c:ext>
          </c:extLst>
        </c:ser>
        <c:ser>
          <c:idx val="3"/>
          <c:order val="3"/>
          <c:tx>
            <c:strRef>
              <c:f>Titel!$G$35</c:f>
              <c:strCache>
                <c:ptCount val="1"/>
                <c:pt idx="0">
                  <c:v>3</c:v>
                </c:pt>
              </c:strCache>
            </c:strRef>
          </c:tx>
          <c:spPr>
            <a:solidFill>
              <a:srgbClr val="FABF8F"/>
            </a:solidFill>
          </c:spPr>
          <c:invertIfNegative val="0"/>
          <c:val>
            <c:numRef>
              <c:f>Titel!$G$36:$G$38</c:f>
              <c:numCache>
                <c:formatCode>General</c:formatCode>
                <c:ptCount val="3"/>
                <c:pt idx="0">
                  <c:v>8</c:v>
                </c:pt>
                <c:pt idx="1">
                  <c:v>7</c:v>
                </c:pt>
                <c:pt idx="2">
                  <c:v>0</c:v>
                </c:pt>
              </c:numCache>
            </c:numRef>
          </c:val>
          <c:extLst>
            <c:ext xmlns:c16="http://schemas.microsoft.com/office/drawing/2014/chart" uri="{C3380CC4-5D6E-409C-BE32-E72D297353CC}">
              <c16:uniqueId val="{00000003-4954-4CE0-8390-87A278A1C98E}"/>
            </c:ext>
          </c:extLst>
        </c:ser>
        <c:ser>
          <c:idx val="4"/>
          <c:order val="4"/>
          <c:tx>
            <c:strRef>
              <c:f>Titel!$H$35</c:f>
              <c:strCache>
                <c:ptCount val="1"/>
                <c:pt idx="0">
                  <c:v>4</c:v>
                </c:pt>
              </c:strCache>
            </c:strRef>
          </c:tx>
          <c:spPr>
            <a:solidFill>
              <a:srgbClr val="FF7171"/>
            </a:solidFill>
          </c:spPr>
          <c:invertIfNegative val="0"/>
          <c:val>
            <c:numRef>
              <c:f>Titel!$H$36:$H$38</c:f>
              <c:numCache>
                <c:formatCode>General</c:formatCode>
                <c:ptCount val="3"/>
                <c:pt idx="0">
                  <c:v>96</c:v>
                </c:pt>
                <c:pt idx="1">
                  <c:v>42</c:v>
                </c:pt>
                <c:pt idx="2">
                  <c:v>0</c:v>
                </c:pt>
              </c:numCache>
            </c:numRef>
          </c:val>
          <c:extLst>
            <c:ext xmlns:c16="http://schemas.microsoft.com/office/drawing/2014/chart" uri="{C3380CC4-5D6E-409C-BE32-E72D297353CC}">
              <c16:uniqueId val="{00000004-4954-4CE0-8390-87A278A1C98E}"/>
            </c:ext>
          </c:extLst>
        </c:ser>
        <c:dLbls>
          <c:showLegendKey val="0"/>
          <c:showVal val="0"/>
          <c:showCatName val="0"/>
          <c:showSerName val="0"/>
          <c:showPercent val="0"/>
          <c:showBubbleSize val="0"/>
        </c:dLbls>
        <c:gapWidth val="150"/>
        <c:overlap val="100"/>
        <c:axId val="173012864"/>
        <c:axId val="173014400"/>
      </c:barChart>
      <c:catAx>
        <c:axId val="173012864"/>
        <c:scaling>
          <c:orientation val="minMax"/>
        </c:scaling>
        <c:delete val="0"/>
        <c:axPos val="b"/>
        <c:majorTickMark val="out"/>
        <c:minorTickMark val="none"/>
        <c:tickLblPos val="nextTo"/>
        <c:crossAx val="173014400"/>
        <c:crosses val="autoZero"/>
        <c:auto val="1"/>
        <c:lblAlgn val="ctr"/>
        <c:lblOffset val="100"/>
        <c:noMultiLvlLbl val="0"/>
      </c:catAx>
      <c:valAx>
        <c:axId val="173014400"/>
        <c:scaling>
          <c:orientation val="minMax"/>
        </c:scaling>
        <c:delete val="0"/>
        <c:axPos val="l"/>
        <c:majorGridlines/>
        <c:numFmt formatCode="0%" sourceLinked="1"/>
        <c:majorTickMark val="out"/>
        <c:minorTickMark val="none"/>
        <c:tickLblPos val="nextTo"/>
        <c:crossAx val="173012864"/>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Titel!$C$62</c:f>
              <c:strCache>
                <c:ptCount val="1"/>
                <c:pt idx="0">
                  <c:v>0</c:v>
                </c:pt>
              </c:strCache>
            </c:strRef>
          </c:tx>
          <c:spPr>
            <a:solidFill>
              <a:schemeClr val="bg1">
                <a:lumMod val="65000"/>
              </a:schemeClr>
            </a:solidFill>
          </c:spPr>
          <c:invertIfNegative val="0"/>
          <c:cat>
            <c:strLit>
              <c:ptCount val="1"/>
              <c:pt idx="0">
                <c:v>Risk</c:v>
              </c:pt>
            </c:strLit>
          </c:cat>
          <c:val>
            <c:numRef>
              <c:f>Titel!$C$64</c:f>
              <c:numCache>
                <c:formatCode>General</c:formatCode>
                <c:ptCount val="1"/>
                <c:pt idx="0">
                  <c:v>0</c:v>
                </c:pt>
              </c:numCache>
            </c:numRef>
          </c:val>
          <c:extLst>
            <c:ext xmlns:c16="http://schemas.microsoft.com/office/drawing/2014/chart" uri="{C3380CC4-5D6E-409C-BE32-E72D297353CC}">
              <c16:uniqueId val="{00000000-671D-4A6C-A276-E7C8D1AED6BB}"/>
            </c:ext>
          </c:extLst>
        </c:ser>
        <c:ser>
          <c:idx val="1"/>
          <c:order val="1"/>
          <c:tx>
            <c:strRef>
              <c:f>Titel!$D$62</c:f>
              <c:strCache>
                <c:ptCount val="1"/>
                <c:pt idx="0">
                  <c:v>1</c:v>
                </c:pt>
              </c:strCache>
            </c:strRef>
          </c:tx>
          <c:spPr>
            <a:solidFill>
              <a:srgbClr val="FFFF99"/>
            </a:solidFill>
          </c:spPr>
          <c:invertIfNegative val="0"/>
          <c:cat>
            <c:strLit>
              <c:ptCount val="1"/>
              <c:pt idx="0">
                <c:v>Risk</c:v>
              </c:pt>
            </c:strLit>
          </c:cat>
          <c:val>
            <c:numRef>
              <c:f>Titel!$D$64</c:f>
              <c:numCache>
                <c:formatCode>General</c:formatCode>
                <c:ptCount val="1"/>
                <c:pt idx="0">
                  <c:v>0</c:v>
                </c:pt>
              </c:numCache>
            </c:numRef>
          </c:val>
          <c:extLst>
            <c:ext xmlns:c16="http://schemas.microsoft.com/office/drawing/2014/chart" uri="{C3380CC4-5D6E-409C-BE32-E72D297353CC}">
              <c16:uniqueId val="{00000001-671D-4A6C-A276-E7C8D1AED6BB}"/>
            </c:ext>
          </c:extLst>
        </c:ser>
        <c:ser>
          <c:idx val="2"/>
          <c:order val="2"/>
          <c:tx>
            <c:strRef>
              <c:f>Titel!$E$62</c:f>
              <c:strCache>
                <c:ptCount val="1"/>
                <c:pt idx="0">
                  <c:v>2</c:v>
                </c:pt>
              </c:strCache>
            </c:strRef>
          </c:tx>
          <c:spPr>
            <a:solidFill>
              <a:srgbClr val="FFD299"/>
            </a:solidFill>
          </c:spPr>
          <c:invertIfNegative val="0"/>
          <c:cat>
            <c:strLit>
              <c:ptCount val="1"/>
              <c:pt idx="0">
                <c:v>Risk</c:v>
              </c:pt>
            </c:strLit>
          </c:cat>
          <c:val>
            <c:numRef>
              <c:f>Titel!$E$64</c:f>
              <c:numCache>
                <c:formatCode>General</c:formatCode>
                <c:ptCount val="1"/>
                <c:pt idx="0">
                  <c:v>0</c:v>
                </c:pt>
              </c:numCache>
            </c:numRef>
          </c:val>
          <c:extLst>
            <c:ext xmlns:c16="http://schemas.microsoft.com/office/drawing/2014/chart" uri="{C3380CC4-5D6E-409C-BE32-E72D297353CC}">
              <c16:uniqueId val="{00000002-671D-4A6C-A276-E7C8D1AED6BB}"/>
            </c:ext>
          </c:extLst>
        </c:ser>
        <c:ser>
          <c:idx val="3"/>
          <c:order val="3"/>
          <c:tx>
            <c:strRef>
              <c:f>Titel!$F$62</c:f>
              <c:strCache>
                <c:ptCount val="1"/>
                <c:pt idx="0">
                  <c:v>3</c:v>
                </c:pt>
              </c:strCache>
            </c:strRef>
          </c:tx>
          <c:spPr>
            <a:solidFill>
              <a:srgbClr val="FFA082"/>
            </a:solidFill>
          </c:spPr>
          <c:invertIfNegative val="0"/>
          <c:cat>
            <c:strLit>
              <c:ptCount val="1"/>
              <c:pt idx="0">
                <c:v>Risk</c:v>
              </c:pt>
            </c:strLit>
          </c:cat>
          <c:val>
            <c:numRef>
              <c:f>Titel!$F$64</c:f>
              <c:numCache>
                <c:formatCode>General</c:formatCode>
                <c:ptCount val="1"/>
                <c:pt idx="0">
                  <c:v>0</c:v>
                </c:pt>
              </c:numCache>
            </c:numRef>
          </c:val>
          <c:extLst>
            <c:ext xmlns:c16="http://schemas.microsoft.com/office/drawing/2014/chart" uri="{C3380CC4-5D6E-409C-BE32-E72D297353CC}">
              <c16:uniqueId val="{00000003-671D-4A6C-A276-E7C8D1AED6BB}"/>
            </c:ext>
          </c:extLst>
        </c:ser>
        <c:ser>
          <c:idx val="4"/>
          <c:order val="4"/>
          <c:tx>
            <c:strRef>
              <c:f>Titel!$G$62</c:f>
              <c:strCache>
                <c:ptCount val="1"/>
                <c:pt idx="0">
                  <c:v>4</c:v>
                </c:pt>
              </c:strCache>
            </c:strRef>
          </c:tx>
          <c:spPr>
            <a:solidFill>
              <a:srgbClr val="FF7171"/>
            </a:solidFill>
          </c:spPr>
          <c:invertIfNegative val="0"/>
          <c:cat>
            <c:strLit>
              <c:ptCount val="1"/>
              <c:pt idx="0">
                <c:v>Risk</c:v>
              </c:pt>
            </c:strLit>
          </c:cat>
          <c:val>
            <c:numRef>
              <c:f>Titel!$G$64</c:f>
              <c:numCache>
                <c:formatCode>General</c:formatCode>
                <c:ptCount val="1"/>
                <c:pt idx="0">
                  <c:v>0</c:v>
                </c:pt>
              </c:numCache>
            </c:numRef>
          </c:val>
          <c:extLst>
            <c:ext xmlns:c16="http://schemas.microsoft.com/office/drawing/2014/chart" uri="{C3380CC4-5D6E-409C-BE32-E72D297353CC}">
              <c16:uniqueId val="{00000004-671D-4A6C-A276-E7C8D1AED6BB}"/>
            </c:ext>
          </c:extLst>
        </c:ser>
        <c:dLbls>
          <c:showLegendKey val="0"/>
          <c:showVal val="0"/>
          <c:showCatName val="0"/>
          <c:showSerName val="0"/>
          <c:showPercent val="0"/>
          <c:showBubbleSize val="0"/>
        </c:dLbls>
        <c:gapWidth val="150"/>
        <c:overlap val="100"/>
        <c:axId val="138027392"/>
        <c:axId val="138030080"/>
      </c:barChart>
      <c:catAx>
        <c:axId val="138027392"/>
        <c:scaling>
          <c:orientation val="minMax"/>
        </c:scaling>
        <c:delete val="0"/>
        <c:axPos val="b"/>
        <c:numFmt formatCode="General" sourceLinked="0"/>
        <c:majorTickMark val="out"/>
        <c:minorTickMark val="none"/>
        <c:tickLblPos val="nextTo"/>
        <c:crossAx val="138030080"/>
        <c:crosses val="autoZero"/>
        <c:auto val="1"/>
        <c:lblAlgn val="ctr"/>
        <c:lblOffset val="100"/>
        <c:noMultiLvlLbl val="0"/>
      </c:catAx>
      <c:valAx>
        <c:axId val="138030080"/>
        <c:scaling>
          <c:orientation val="minMax"/>
        </c:scaling>
        <c:delete val="0"/>
        <c:axPos val="l"/>
        <c:majorGridlines/>
        <c:numFmt formatCode="0%" sourceLinked="1"/>
        <c:majorTickMark val="out"/>
        <c:minorTickMark val="none"/>
        <c:tickLblPos val="nextTo"/>
        <c:crossAx val="138027392"/>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Titel!$C$67</c:f>
              <c:strCache>
                <c:ptCount val="1"/>
                <c:pt idx="0">
                  <c:v>D0</c:v>
                </c:pt>
              </c:strCache>
            </c:strRef>
          </c:tx>
          <c:spPr>
            <a:solidFill>
              <a:schemeClr val="bg1">
                <a:lumMod val="65000"/>
              </a:schemeClr>
            </a:solidFill>
          </c:spPr>
          <c:invertIfNegative val="0"/>
          <c:cat>
            <c:strLit>
              <c:ptCount val="1"/>
              <c:pt idx="0">
                <c:v>Default Risk</c:v>
              </c:pt>
            </c:strLit>
          </c:cat>
          <c:val>
            <c:numRef>
              <c:f>Titel!$C$69</c:f>
              <c:numCache>
                <c:formatCode>General</c:formatCode>
                <c:ptCount val="1"/>
                <c:pt idx="0">
                  <c:v>3</c:v>
                </c:pt>
              </c:numCache>
            </c:numRef>
          </c:val>
          <c:extLst>
            <c:ext xmlns:c16="http://schemas.microsoft.com/office/drawing/2014/chart" uri="{C3380CC4-5D6E-409C-BE32-E72D297353CC}">
              <c16:uniqueId val="{00000000-2F93-4CA1-B6CB-586D8F7AB517}"/>
            </c:ext>
          </c:extLst>
        </c:ser>
        <c:ser>
          <c:idx val="1"/>
          <c:order val="1"/>
          <c:tx>
            <c:strRef>
              <c:f>Titel!$D$67</c:f>
              <c:strCache>
                <c:ptCount val="1"/>
                <c:pt idx="0">
                  <c:v>D1</c:v>
                </c:pt>
              </c:strCache>
            </c:strRef>
          </c:tx>
          <c:spPr>
            <a:solidFill>
              <a:srgbClr val="FFFF99"/>
            </a:solidFill>
          </c:spPr>
          <c:invertIfNegative val="0"/>
          <c:cat>
            <c:strLit>
              <c:ptCount val="1"/>
              <c:pt idx="0">
                <c:v>Default Risk</c:v>
              </c:pt>
            </c:strLit>
          </c:cat>
          <c:val>
            <c:numRef>
              <c:f>Titel!$D$69</c:f>
              <c:numCache>
                <c:formatCode>General</c:formatCode>
                <c:ptCount val="1"/>
                <c:pt idx="0">
                  <c:v>1</c:v>
                </c:pt>
              </c:numCache>
            </c:numRef>
          </c:val>
          <c:extLst>
            <c:ext xmlns:c16="http://schemas.microsoft.com/office/drawing/2014/chart" uri="{C3380CC4-5D6E-409C-BE32-E72D297353CC}">
              <c16:uniqueId val="{00000001-2F93-4CA1-B6CB-586D8F7AB517}"/>
            </c:ext>
          </c:extLst>
        </c:ser>
        <c:ser>
          <c:idx val="2"/>
          <c:order val="2"/>
          <c:tx>
            <c:strRef>
              <c:f>Titel!$E$67</c:f>
              <c:strCache>
                <c:ptCount val="1"/>
                <c:pt idx="0">
                  <c:v>D2</c:v>
                </c:pt>
              </c:strCache>
            </c:strRef>
          </c:tx>
          <c:spPr>
            <a:solidFill>
              <a:srgbClr val="FFD299"/>
            </a:solidFill>
          </c:spPr>
          <c:invertIfNegative val="0"/>
          <c:cat>
            <c:strLit>
              <c:ptCount val="1"/>
              <c:pt idx="0">
                <c:v>Default Risk</c:v>
              </c:pt>
            </c:strLit>
          </c:cat>
          <c:val>
            <c:numRef>
              <c:f>Titel!$E$69</c:f>
              <c:numCache>
                <c:formatCode>General</c:formatCode>
                <c:ptCount val="1"/>
                <c:pt idx="0">
                  <c:v>7</c:v>
                </c:pt>
              </c:numCache>
            </c:numRef>
          </c:val>
          <c:extLst>
            <c:ext xmlns:c16="http://schemas.microsoft.com/office/drawing/2014/chart" uri="{C3380CC4-5D6E-409C-BE32-E72D297353CC}">
              <c16:uniqueId val="{00000002-2F93-4CA1-B6CB-586D8F7AB517}"/>
            </c:ext>
          </c:extLst>
        </c:ser>
        <c:ser>
          <c:idx val="3"/>
          <c:order val="3"/>
          <c:tx>
            <c:strRef>
              <c:f>Titel!$F$67</c:f>
              <c:strCache>
                <c:ptCount val="1"/>
                <c:pt idx="0">
                  <c:v>D3</c:v>
                </c:pt>
              </c:strCache>
            </c:strRef>
          </c:tx>
          <c:spPr>
            <a:solidFill>
              <a:srgbClr val="FFA082"/>
            </a:solidFill>
          </c:spPr>
          <c:invertIfNegative val="0"/>
          <c:cat>
            <c:strLit>
              <c:ptCount val="1"/>
              <c:pt idx="0">
                <c:v>Default Risk</c:v>
              </c:pt>
            </c:strLit>
          </c:cat>
          <c:val>
            <c:numRef>
              <c:f>Titel!$F$69</c:f>
              <c:numCache>
                <c:formatCode>General</c:formatCode>
                <c:ptCount val="1"/>
                <c:pt idx="0">
                  <c:v>26</c:v>
                </c:pt>
              </c:numCache>
            </c:numRef>
          </c:val>
          <c:extLst>
            <c:ext xmlns:c16="http://schemas.microsoft.com/office/drawing/2014/chart" uri="{C3380CC4-5D6E-409C-BE32-E72D297353CC}">
              <c16:uniqueId val="{00000003-2F93-4CA1-B6CB-586D8F7AB517}"/>
            </c:ext>
          </c:extLst>
        </c:ser>
        <c:ser>
          <c:idx val="4"/>
          <c:order val="4"/>
          <c:tx>
            <c:strRef>
              <c:f>Titel!$G$67</c:f>
              <c:strCache>
                <c:ptCount val="1"/>
                <c:pt idx="0">
                  <c:v>D4</c:v>
                </c:pt>
              </c:strCache>
            </c:strRef>
          </c:tx>
          <c:spPr>
            <a:solidFill>
              <a:srgbClr val="FF7171"/>
            </a:solidFill>
          </c:spPr>
          <c:invertIfNegative val="0"/>
          <c:cat>
            <c:strLit>
              <c:ptCount val="1"/>
              <c:pt idx="0">
                <c:v>Default Risk</c:v>
              </c:pt>
            </c:strLit>
          </c:cat>
          <c:val>
            <c:numRef>
              <c:f>Titel!$G$69</c:f>
              <c:numCache>
                <c:formatCode>General</c:formatCode>
                <c:ptCount val="1"/>
                <c:pt idx="0">
                  <c:v>5</c:v>
                </c:pt>
              </c:numCache>
            </c:numRef>
          </c:val>
          <c:extLst>
            <c:ext xmlns:c16="http://schemas.microsoft.com/office/drawing/2014/chart" uri="{C3380CC4-5D6E-409C-BE32-E72D297353CC}">
              <c16:uniqueId val="{00000004-2F93-4CA1-B6CB-586D8F7AB517}"/>
            </c:ext>
          </c:extLst>
        </c:ser>
        <c:dLbls>
          <c:showLegendKey val="0"/>
          <c:showVal val="0"/>
          <c:showCatName val="0"/>
          <c:showSerName val="0"/>
          <c:showPercent val="0"/>
          <c:showBubbleSize val="0"/>
        </c:dLbls>
        <c:gapWidth val="150"/>
        <c:overlap val="100"/>
        <c:axId val="213542400"/>
        <c:axId val="213543936"/>
      </c:barChart>
      <c:catAx>
        <c:axId val="213542400"/>
        <c:scaling>
          <c:orientation val="minMax"/>
        </c:scaling>
        <c:delete val="0"/>
        <c:axPos val="b"/>
        <c:numFmt formatCode="General" sourceLinked="0"/>
        <c:majorTickMark val="out"/>
        <c:minorTickMark val="none"/>
        <c:tickLblPos val="nextTo"/>
        <c:crossAx val="213543936"/>
        <c:crosses val="autoZero"/>
        <c:auto val="1"/>
        <c:lblAlgn val="ctr"/>
        <c:lblOffset val="100"/>
        <c:noMultiLvlLbl val="0"/>
      </c:catAx>
      <c:valAx>
        <c:axId val="213543936"/>
        <c:scaling>
          <c:orientation val="minMax"/>
        </c:scaling>
        <c:delete val="0"/>
        <c:axPos val="l"/>
        <c:majorGridlines/>
        <c:numFmt formatCode="0%" sourceLinked="1"/>
        <c:majorTickMark val="out"/>
        <c:minorTickMark val="none"/>
        <c:tickLblPos val="nextTo"/>
        <c:crossAx val="213542400"/>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19051</xdr:colOff>
      <xdr:row>39</xdr:row>
      <xdr:rowOff>38100</xdr:rowOff>
    </xdr:from>
    <xdr:to>
      <xdr:col>7</xdr:col>
      <xdr:colOff>1009651</xdr:colOff>
      <xdr:row>56</xdr:row>
      <xdr:rowOff>123825</xdr:rowOff>
    </xdr:to>
    <xdr:graphicFrame macro="">
      <xdr:nvGraphicFramePr>
        <xdr:cNvPr id="3" name="Diagramm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11206</xdr:colOff>
      <xdr:row>72</xdr:row>
      <xdr:rowOff>56029</xdr:rowOff>
    </xdr:from>
    <xdr:to>
      <xdr:col>5</xdr:col>
      <xdr:colOff>616324</xdr:colOff>
      <xdr:row>89</xdr:row>
      <xdr:rowOff>141754</xdr:rowOff>
    </xdr:to>
    <xdr:graphicFrame macro="">
      <xdr:nvGraphicFramePr>
        <xdr:cNvPr id="4" name="Diagramm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952501</xdr:colOff>
      <xdr:row>72</xdr:row>
      <xdr:rowOff>56029</xdr:rowOff>
    </xdr:from>
    <xdr:to>
      <xdr:col>8</xdr:col>
      <xdr:colOff>526677</xdr:colOff>
      <xdr:row>89</xdr:row>
      <xdr:rowOff>141754</xdr:rowOff>
    </xdr:to>
    <xdr:graphicFrame macro="">
      <xdr:nvGraphicFramePr>
        <xdr:cNvPr id="5" name="Diagramm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riteshkumar Bharatbhai Gohil" id="{0D07100E-84B2-41E7-A437-4C2A456A36D7}" userId="S::priteshkumar.gohil@expleogroup.com::428bf8c7-333d-45f2-ba43-0735a60ea78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2-12-12T08:36:44.25" personId="{0D07100E-84B2-41E7-A437-4C2A456A36D7}" id="{617E511B-73F3-4970-AAD9-40D8E9506AB9}">
    <text>The Leitfaden docuement with version at the time of project start</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7"/>
  <sheetViews>
    <sheetView workbookViewId="0">
      <selection activeCell="B4" sqref="B4"/>
    </sheetView>
  </sheetViews>
  <sheetFormatPr defaultColWidth="11.42578125" defaultRowHeight="15" x14ac:dyDescent="0.25"/>
  <cols>
    <col min="1" max="1" width="11.42578125" style="98"/>
    <col min="2" max="2" width="117.140625" style="91" customWidth="1"/>
    <col min="3" max="16384" width="11.42578125" style="98"/>
  </cols>
  <sheetData>
    <row r="2" spans="1:2" x14ac:dyDescent="0.25">
      <c r="A2" s="98" t="s">
        <v>0</v>
      </c>
    </row>
    <row r="3" spans="1:2" ht="30" x14ac:dyDescent="0.25">
      <c r="A3" s="98">
        <v>1</v>
      </c>
      <c r="B3" s="99" t="s">
        <v>1</v>
      </c>
    </row>
    <row r="4" spans="1:2" ht="30" x14ac:dyDescent="0.25">
      <c r="A4" s="98">
        <v>2</v>
      </c>
      <c r="B4" s="99" t="s">
        <v>2</v>
      </c>
    </row>
    <row r="5" spans="1:2" ht="45" x14ac:dyDescent="0.25">
      <c r="A5" s="98">
        <v>3</v>
      </c>
      <c r="B5" s="99" t="s">
        <v>3</v>
      </c>
    </row>
    <row r="6" spans="1:2" ht="60" x14ac:dyDescent="0.25">
      <c r="A6" s="98">
        <v>4</v>
      </c>
      <c r="B6" s="99" t="s">
        <v>4</v>
      </c>
    </row>
    <row r="7" spans="1:2" ht="60" x14ac:dyDescent="0.25">
      <c r="A7" s="98">
        <v>5</v>
      </c>
      <c r="B7" s="99" t="s">
        <v>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94"/>
  <sheetViews>
    <sheetView tabSelected="1" zoomScale="85" zoomScaleNormal="85" workbookViewId="0"/>
  </sheetViews>
  <sheetFormatPr defaultColWidth="11.42578125" defaultRowHeight="15" x14ac:dyDescent="0.25"/>
  <cols>
    <col min="1" max="1" width="11.42578125" style="21"/>
    <col min="2" max="2" width="22.140625" style="21" customWidth="1"/>
    <col min="3" max="3" width="18.85546875" style="21" customWidth="1"/>
    <col min="4" max="4" width="15.42578125" style="21" customWidth="1"/>
    <col min="5" max="5" width="25.7109375" style="21" customWidth="1"/>
    <col min="6" max="10" width="15.42578125" style="21" customWidth="1"/>
    <col min="11" max="16384" width="11.42578125" style="21"/>
  </cols>
  <sheetData>
    <row r="1" spans="2:12" x14ac:dyDescent="0.25">
      <c r="B1" s="21" t="s">
        <v>6</v>
      </c>
      <c r="C1" s="21" t="s">
        <v>7</v>
      </c>
    </row>
    <row r="3" spans="2:12" ht="19.5" thickBot="1" x14ac:dyDescent="0.3">
      <c r="B3" s="130" t="s">
        <v>8</v>
      </c>
      <c r="C3" s="130"/>
      <c r="D3" s="130"/>
      <c r="E3" s="130"/>
      <c r="F3" s="130"/>
      <c r="G3" s="130"/>
      <c r="H3" s="130"/>
      <c r="I3" s="130"/>
      <c r="J3" s="130"/>
      <c r="K3" s="22"/>
      <c r="L3" s="23"/>
    </row>
    <row r="4" spans="2:12" ht="31.5" x14ac:dyDescent="0.25">
      <c r="B4" s="33" t="s">
        <v>9</v>
      </c>
      <c r="C4" s="133">
        <v>2</v>
      </c>
      <c r="D4" s="133"/>
      <c r="E4" s="133"/>
      <c r="F4" s="133"/>
      <c r="G4" s="133"/>
      <c r="H4" s="133"/>
      <c r="I4" s="133"/>
      <c r="J4" s="133"/>
      <c r="K4" s="22"/>
      <c r="L4" s="23"/>
    </row>
    <row r="5" spans="2:12" ht="31.5" x14ac:dyDescent="0.25">
      <c r="B5" s="33" t="s">
        <v>10</v>
      </c>
      <c r="C5" s="132" t="s">
        <v>416</v>
      </c>
      <c r="D5" s="132"/>
      <c r="E5" s="132"/>
      <c r="F5" s="132"/>
      <c r="G5" s="132"/>
      <c r="H5" s="132"/>
      <c r="I5" s="132"/>
      <c r="J5" s="132"/>
      <c r="K5" s="22"/>
      <c r="L5" s="23"/>
    </row>
    <row r="6" spans="2:12" ht="31.5" x14ac:dyDescent="0.25">
      <c r="B6" s="33" t="s">
        <v>11</v>
      </c>
      <c r="C6" s="132" t="s">
        <v>414</v>
      </c>
      <c r="D6" s="132"/>
      <c r="E6" s="132"/>
      <c r="F6" s="132"/>
      <c r="G6" s="132"/>
      <c r="H6" s="132"/>
      <c r="I6" s="132"/>
      <c r="J6" s="132"/>
      <c r="K6" s="22"/>
      <c r="L6" s="23"/>
    </row>
    <row r="7" spans="2:12" ht="31.5" x14ac:dyDescent="0.25">
      <c r="B7" s="33" t="s">
        <v>12</v>
      </c>
      <c r="C7" s="132"/>
      <c r="D7" s="132"/>
      <c r="E7" s="132"/>
      <c r="F7" s="132"/>
      <c r="G7" s="132"/>
      <c r="H7" s="132"/>
      <c r="I7" s="132"/>
      <c r="J7" s="132"/>
      <c r="K7" s="22"/>
      <c r="L7" s="23"/>
    </row>
    <row r="8" spans="2:12" ht="32.25" thickBot="1" x14ac:dyDescent="0.3">
      <c r="B8" s="66" t="s">
        <v>13</v>
      </c>
      <c r="C8" s="134" t="s">
        <v>14</v>
      </c>
      <c r="D8" s="134"/>
      <c r="E8" s="134"/>
      <c r="F8" s="134"/>
      <c r="G8" s="134"/>
      <c r="H8" s="134"/>
      <c r="I8" s="134"/>
      <c r="J8" s="134"/>
      <c r="K8" s="22"/>
      <c r="L8" s="23"/>
    </row>
    <row r="9" spans="2:12" ht="15.75" x14ac:dyDescent="0.25">
      <c r="B9" s="24"/>
      <c r="C9" s="25"/>
      <c r="H9" s="26"/>
      <c r="I9" s="26"/>
      <c r="J9" s="26"/>
      <c r="K9" s="22"/>
      <c r="L9" s="23"/>
    </row>
    <row r="10" spans="2:12" x14ac:dyDescent="0.25">
      <c r="B10" s="27"/>
      <c r="H10" s="26"/>
      <c r="I10" s="26"/>
      <c r="J10" s="26"/>
      <c r="K10" s="22"/>
      <c r="L10" s="23"/>
    </row>
    <row r="11" spans="2:12" ht="19.5" thickBot="1" x14ac:dyDescent="0.3">
      <c r="B11" s="130" t="s">
        <v>15</v>
      </c>
      <c r="C11" s="130"/>
      <c r="D11" s="130"/>
      <c r="E11" s="130"/>
      <c r="F11" s="130"/>
      <c r="G11" s="130"/>
      <c r="H11" s="131"/>
      <c r="I11" s="131"/>
      <c r="J11" s="131"/>
      <c r="K11" s="22"/>
      <c r="L11" s="23"/>
    </row>
    <row r="12" spans="2:12" ht="32.25" thickBot="1" x14ac:dyDescent="0.3">
      <c r="B12" s="6" t="s">
        <v>9</v>
      </c>
      <c r="C12" s="137" t="s">
        <v>16</v>
      </c>
      <c r="D12" s="137"/>
      <c r="E12" s="137"/>
      <c r="F12" s="7" t="s">
        <v>17</v>
      </c>
      <c r="G12" s="2" t="s">
        <v>18</v>
      </c>
      <c r="H12" s="138" t="s">
        <v>19</v>
      </c>
      <c r="I12" s="138"/>
      <c r="J12" s="138"/>
      <c r="K12" s="22"/>
      <c r="L12" s="23"/>
    </row>
    <row r="13" spans="2:12" x14ac:dyDescent="0.25">
      <c r="B13" s="3">
        <v>1</v>
      </c>
      <c r="C13" s="135" t="s">
        <v>417</v>
      </c>
      <c r="D13" s="135"/>
      <c r="E13" s="135"/>
      <c r="F13" s="19">
        <v>45751</v>
      </c>
      <c r="G13" s="4" t="s">
        <v>20</v>
      </c>
      <c r="H13" s="135" t="s">
        <v>418</v>
      </c>
      <c r="I13" s="135"/>
      <c r="J13" s="135"/>
      <c r="K13" s="22"/>
      <c r="L13" s="23"/>
    </row>
    <row r="14" spans="2:12" x14ac:dyDescent="0.25">
      <c r="B14" s="3">
        <v>2</v>
      </c>
      <c r="C14" s="135" t="s">
        <v>419</v>
      </c>
      <c r="D14" s="135"/>
      <c r="E14" s="135"/>
      <c r="F14" s="19">
        <v>45795</v>
      </c>
      <c r="G14" s="4" t="s">
        <v>421</v>
      </c>
      <c r="H14" s="135" t="s">
        <v>418</v>
      </c>
      <c r="I14" s="135"/>
      <c r="J14" s="135"/>
      <c r="K14" s="22"/>
      <c r="L14" s="23"/>
    </row>
    <row r="15" spans="2:12" x14ac:dyDescent="0.25">
      <c r="B15" s="3">
        <v>2</v>
      </c>
      <c r="C15" s="135" t="s">
        <v>420</v>
      </c>
      <c r="D15" s="135"/>
      <c r="E15" s="135"/>
      <c r="F15" s="19">
        <v>45795</v>
      </c>
      <c r="G15" s="4" t="s">
        <v>423</v>
      </c>
      <c r="H15" s="135" t="s">
        <v>427</v>
      </c>
      <c r="I15" s="135"/>
      <c r="J15" s="135"/>
      <c r="K15" s="22"/>
      <c r="L15" s="23"/>
    </row>
    <row r="16" spans="2:12" x14ac:dyDescent="0.25">
      <c r="B16" s="3">
        <v>2</v>
      </c>
      <c r="C16" s="135" t="s">
        <v>422</v>
      </c>
      <c r="D16" s="135"/>
      <c r="E16" s="135"/>
      <c r="F16" s="19">
        <v>45795</v>
      </c>
      <c r="G16" s="4" t="s">
        <v>429</v>
      </c>
      <c r="H16" s="135" t="s">
        <v>428</v>
      </c>
      <c r="I16" s="135"/>
      <c r="J16" s="135"/>
      <c r="K16" s="22"/>
      <c r="L16" s="23"/>
    </row>
    <row r="17" spans="2:12" x14ac:dyDescent="0.25">
      <c r="B17" s="3"/>
      <c r="C17" s="135"/>
      <c r="D17" s="135"/>
      <c r="E17" s="135"/>
      <c r="F17" s="19"/>
      <c r="G17" s="4"/>
      <c r="H17" s="135"/>
      <c r="I17" s="135"/>
      <c r="J17" s="135"/>
      <c r="K17" s="22"/>
      <c r="L17" s="23"/>
    </row>
    <row r="18" spans="2:12" x14ac:dyDescent="0.25">
      <c r="B18" s="3"/>
      <c r="C18" s="135"/>
      <c r="D18" s="135"/>
      <c r="E18" s="135"/>
      <c r="F18" s="19"/>
      <c r="G18" s="4"/>
      <c r="H18" s="135"/>
      <c r="I18" s="135"/>
      <c r="J18" s="135"/>
      <c r="K18" s="22"/>
      <c r="L18" s="23"/>
    </row>
    <row r="19" spans="2:12" x14ac:dyDescent="0.25">
      <c r="B19" s="3"/>
      <c r="C19" s="135"/>
      <c r="D19" s="135"/>
      <c r="E19" s="135"/>
      <c r="F19" s="19"/>
      <c r="G19" s="4"/>
      <c r="H19" s="135"/>
      <c r="I19" s="135"/>
      <c r="J19" s="135"/>
      <c r="K19" s="22"/>
      <c r="L19" s="23"/>
    </row>
    <row r="20" spans="2:12" x14ac:dyDescent="0.25">
      <c r="B20" s="3"/>
      <c r="C20" s="135"/>
      <c r="D20" s="135"/>
      <c r="E20" s="135"/>
      <c r="F20" s="19"/>
      <c r="G20" s="4"/>
      <c r="H20" s="135"/>
      <c r="I20" s="135"/>
      <c r="J20" s="135"/>
      <c r="K20" s="22"/>
      <c r="L20" s="23"/>
    </row>
    <row r="21" spans="2:12" x14ac:dyDescent="0.25">
      <c r="B21" s="3"/>
      <c r="C21" s="135"/>
      <c r="D21" s="135"/>
      <c r="E21" s="135"/>
      <c r="F21" s="19"/>
      <c r="G21" s="4"/>
      <c r="H21" s="135"/>
      <c r="I21" s="135"/>
      <c r="J21" s="135"/>
      <c r="K21" s="22"/>
      <c r="L21" s="23"/>
    </row>
    <row r="22" spans="2:12" x14ac:dyDescent="0.25">
      <c r="B22" s="3"/>
      <c r="C22" s="135"/>
      <c r="D22" s="135"/>
      <c r="E22" s="135"/>
      <c r="F22" s="19"/>
      <c r="G22" s="4"/>
      <c r="H22" s="135"/>
      <c r="I22" s="135"/>
      <c r="J22" s="135"/>
      <c r="K22" s="22"/>
      <c r="L22" s="23"/>
    </row>
    <row r="23" spans="2:12" ht="15.75" thickBot="1" x14ac:dyDescent="0.3">
      <c r="B23" s="67"/>
      <c r="C23" s="136"/>
      <c r="D23" s="136"/>
      <c r="E23" s="136"/>
      <c r="F23" s="68"/>
      <c r="G23" s="69"/>
      <c r="H23" s="136"/>
      <c r="I23" s="136"/>
      <c r="J23" s="136"/>
    </row>
    <row r="24" spans="2:12" x14ac:dyDescent="0.25">
      <c r="K24" s="22"/>
      <c r="L24" s="23"/>
    </row>
    <row r="25" spans="2:12" ht="41.25" customHeight="1" x14ac:dyDescent="0.25">
      <c r="B25" s="28"/>
      <c r="C25" s="29"/>
      <c r="D25" s="30"/>
      <c r="E25" s="30"/>
      <c r="F25" s="30"/>
      <c r="G25" s="29"/>
      <c r="H25" s="31"/>
      <c r="I25" s="31"/>
      <c r="J25" s="31"/>
      <c r="K25" s="22"/>
      <c r="L25" s="23"/>
    </row>
    <row r="26" spans="2:12" ht="19.5" thickBot="1" x14ac:dyDescent="0.3">
      <c r="B26" s="129" t="s">
        <v>21</v>
      </c>
      <c r="C26" s="139"/>
      <c r="D26" s="139"/>
      <c r="E26" s="139"/>
      <c r="F26" s="139"/>
      <c r="G26" s="139"/>
      <c r="H26" s="139"/>
      <c r="I26" s="139"/>
      <c r="J26" s="139"/>
      <c r="K26" s="22"/>
      <c r="L26" s="23"/>
    </row>
    <row r="27" spans="2:12" x14ac:dyDescent="0.25">
      <c r="B27" s="1" t="s">
        <v>22</v>
      </c>
      <c r="C27" s="32" t="s">
        <v>23</v>
      </c>
      <c r="D27" s="30"/>
      <c r="E27" s="30"/>
      <c r="F27" s="30"/>
      <c r="G27" s="29"/>
      <c r="H27" s="32"/>
      <c r="I27" s="32"/>
      <c r="J27" s="32"/>
      <c r="K27" s="22"/>
      <c r="L27" s="23"/>
    </row>
    <row r="28" spans="2:12" x14ac:dyDescent="0.25">
      <c r="B28" s="1" t="s">
        <v>24</v>
      </c>
      <c r="C28" s="32" t="s">
        <v>25</v>
      </c>
      <c r="D28" s="30"/>
      <c r="E28" s="30"/>
      <c r="F28" s="30"/>
      <c r="G28" s="29"/>
      <c r="H28" s="32"/>
      <c r="I28" s="32"/>
      <c r="J28" s="32"/>
      <c r="K28" s="22"/>
      <c r="L28" s="23"/>
    </row>
    <row r="29" spans="2:12" x14ac:dyDescent="0.25">
      <c r="B29" s="1" t="s">
        <v>26</v>
      </c>
      <c r="C29" s="32" t="s">
        <v>27</v>
      </c>
      <c r="D29" s="30"/>
      <c r="E29" s="30"/>
      <c r="F29" s="30"/>
      <c r="G29" s="29"/>
      <c r="H29" s="32"/>
      <c r="I29" s="32"/>
      <c r="J29" s="32"/>
      <c r="K29" s="22"/>
      <c r="L29" s="23"/>
    </row>
    <row r="30" spans="2:12" x14ac:dyDescent="0.25">
      <c r="B30" s="1" t="s">
        <v>28</v>
      </c>
      <c r="C30" s="32" t="s">
        <v>29</v>
      </c>
      <c r="D30" s="30"/>
      <c r="E30" s="30"/>
      <c r="F30" s="30"/>
      <c r="G30" s="29"/>
      <c r="H30" s="32"/>
      <c r="I30" s="32"/>
      <c r="J30" s="32"/>
      <c r="K30" s="22"/>
      <c r="L30" s="23"/>
    </row>
    <row r="31" spans="2:12" ht="15.75" thickBot="1" x14ac:dyDescent="0.3">
      <c r="B31" s="70" t="s">
        <v>30</v>
      </c>
      <c r="C31" s="71" t="s">
        <v>31</v>
      </c>
      <c r="D31" s="72"/>
      <c r="E31" s="72"/>
      <c r="F31" s="72"/>
      <c r="G31" s="59"/>
      <c r="H31" s="71"/>
      <c r="I31" s="71"/>
      <c r="J31" s="71"/>
    </row>
    <row r="32" spans="2:12" ht="15.75" thickBot="1" x14ac:dyDescent="0.3"/>
    <row r="33" spans="2:23" ht="16.5" thickBot="1" x14ac:dyDescent="0.3">
      <c r="K33" s="115" t="str">
        <f xml:space="preserve"> _xlfn.CONCAT("Bewertung / Assessment: Round ",B36)</f>
        <v>Bewertung / Assessment: Round 1</v>
      </c>
      <c r="L33" s="140"/>
      <c r="M33" s="140"/>
      <c r="N33" s="140"/>
      <c r="O33" s="140"/>
      <c r="P33" s="140"/>
      <c r="Q33" s="140"/>
      <c r="R33" s="140"/>
      <c r="S33" s="140"/>
      <c r="T33" s="140"/>
      <c r="U33" s="140"/>
      <c r="V33" s="140"/>
      <c r="W33" s="116"/>
    </row>
    <row r="34" spans="2:23" s="34" customFormat="1" ht="33" customHeight="1" thickBot="1" x14ac:dyDescent="0.3">
      <c r="B34" s="130" t="s">
        <v>32</v>
      </c>
      <c r="C34" s="130"/>
      <c r="D34" s="130"/>
      <c r="E34" s="130"/>
      <c r="F34" s="130"/>
      <c r="G34" s="130"/>
      <c r="H34" s="130"/>
      <c r="I34" s="74"/>
      <c r="J34" s="74"/>
      <c r="K34" s="115" t="s">
        <v>34</v>
      </c>
      <c r="L34" s="116"/>
      <c r="M34" s="117" t="s">
        <v>35</v>
      </c>
      <c r="N34" s="118"/>
      <c r="O34" s="118"/>
      <c r="P34" s="118"/>
      <c r="Q34" s="118"/>
      <c r="R34" s="118"/>
      <c r="S34" s="118"/>
      <c r="T34" s="118"/>
      <c r="U34" s="118"/>
      <c r="V34" s="118"/>
      <c r="W34" s="119"/>
    </row>
    <row r="35" spans="2:23" ht="32.25" thickBot="1" x14ac:dyDescent="0.3">
      <c r="B35" s="73" t="s">
        <v>9</v>
      </c>
      <c r="C35" s="73" t="s">
        <v>33</v>
      </c>
      <c r="D35" s="76">
        <v>0</v>
      </c>
      <c r="E35" s="77">
        <v>1</v>
      </c>
      <c r="F35" s="78">
        <v>2</v>
      </c>
      <c r="G35" s="79">
        <v>3</v>
      </c>
      <c r="H35" s="80">
        <v>4</v>
      </c>
      <c r="I35" s="75"/>
      <c r="J35" s="75"/>
      <c r="K35" s="120" t="s">
        <v>489</v>
      </c>
      <c r="L35" s="121"/>
      <c r="M35" s="121"/>
      <c r="N35" s="121"/>
      <c r="O35" s="121"/>
      <c r="P35" s="121"/>
      <c r="Q35" s="121"/>
      <c r="R35" s="121"/>
      <c r="S35" s="121"/>
      <c r="T35" s="121"/>
      <c r="U35" s="121"/>
      <c r="V35" s="121"/>
      <c r="W35" s="122"/>
    </row>
    <row r="36" spans="2:23" x14ac:dyDescent="0.25">
      <c r="B36" s="84">
        <v>1</v>
      </c>
      <c r="C36" s="20">
        <f>COUNTA(ASSESSMENT_1)</f>
        <v>134</v>
      </c>
      <c r="D36" s="20">
        <f>COUNTIF(ASSESSMENT_1,D$35)</f>
        <v>1</v>
      </c>
      <c r="E36" s="20">
        <f>COUNTIF(ASSESSMENT_1,E$35)</f>
        <v>20</v>
      </c>
      <c r="F36" s="20">
        <f>COUNTIF(ASSESSMENT_1,F$35)</f>
        <v>9</v>
      </c>
      <c r="G36" s="20">
        <f>COUNTIF(ASSESSMENT_1,G$35)</f>
        <v>8</v>
      </c>
      <c r="H36" s="20">
        <f>COUNTIF(ASSESSMENT_1,H$35)</f>
        <v>96</v>
      </c>
      <c r="K36" s="123"/>
      <c r="L36" s="124"/>
      <c r="M36" s="124"/>
      <c r="N36" s="124"/>
      <c r="O36" s="124"/>
      <c r="P36" s="124"/>
      <c r="Q36" s="124"/>
      <c r="R36" s="124"/>
      <c r="S36" s="124"/>
      <c r="T36" s="124"/>
      <c r="U36" s="124"/>
      <c r="V36" s="124"/>
      <c r="W36" s="125"/>
    </row>
    <row r="37" spans="2:23" x14ac:dyDescent="0.25">
      <c r="B37" s="85">
        <v>2</v>
      </c>
      <c r="C37" s="20">
        <f>COUNTA(ASSESSMENT_2)</f>
        <v>134</v>
      </c>
      <c r="D37" s="20">
        <f>COUNTIF(ASSESSMENT_2,D$35)</f>
        <v>8</v>
      </c>
      <c r="E37" s="20">
        <f>COUNTIF(ASSESSMENT_2,E$35)</f>
        <v>56</v>
      </c>
      <c r="F37" s="20">
        <f>COUNTIF(ASSESSMENT_2,F$35)</f>
        <v>21</v>
      </c>
      <c r="G37" s="20">
        <f>COUNTIF(ASSESSMENT_2,G$35)</f>
        <v>7</v>
      </c>
      <c r="H37" s="20">
        <f>COUNTIF(ASSESSMENT_2,H$35)</f>
        <v>42</v>
      </c>
      <c r="K37" s="123"/>
      <c r="L37" s="124"/>
      <c r="M37" s="124"/>
      <c r="N37" s="124"/>
      <c r="O37" s="124"/>
      <c r="P37" s="124"/>
      <c r="Q37" s="124"/>
      <c r="R37" s="124"/>
      <c r="S37" s="124"/>
      <c r="T37" s="124"/>
      <c r="U37" s="124"/>
      <c r="V37" s="124"/>
      <c r="W37" s="125"/>
    </row>
    <row r="38" spans="2:23" ht="15.75" thickBot="1" x14ac:dyDescent="0.3">
      <c r="B38" s="86">
        <v>3</v>
      </c>
      <c r="C38" s="67">
        <f>COUNTA(ASSESSMENT_3)</f>
        <v>0</v>
      </c>
      <c r="D38" s="87">
        <f>COUNTIF(ASSESSMENT_3,D$35)</f>
        <v>0</v>
      </c>
      <c r="E38" s="67">
        <f>COUNTIF(ASSESSMENT_3,E$35)</f>
        <v>0</v>
      </c>
      <c r="F38" s="67">
        <f>COUNTIF(ASSESSMENT_3,F$35)</f>
        <v>0</v>
      </c>
      <c r="G38" s="67">
        <f>COUNTIF(ASSESSMENT_3,G$35)</f>
        <v>0</v>
      </c>
      <c r="H38" s="67">
        <f>COUNTIF(ASSESSMENT_3,H$35)</f>
        <v>0</v>
      </c>
      <c r="K38" s="123"/>
      <c r="L38" s="124"/>
      <c r="M38" s="124"/>
      <c r="N38" s="124"/>
      <c r="O38" s="124"/>
      <c r="P38" s="124"/>
      <c r="Q38" s="124"/>
      <c r="R38" s="124"/>
      <c r="S38" s="124"/>
      <c r="T38" s="124"/>
      <c r="U38" s="124"/>
      <c r="V38" s="124"/>
      <c r="W38" s="125"/>
    </row>
    <row r="39" spans="2:23" x14ac:dyDescent="0.25">
      <c r="K39" s="123"/>
      <c r="L39" s="124"/>
      <c r="M39" s="124"/>
      <c r="N39" s="124"/>
      <c r="O39" s="124"/>
      <c r="P39" s="124"/>
      <c r="Q39" s="124"/>
      <c r="R39" s="124"/>
      <c r="S39" s="124"/>
      <c r="T39" s="124"/>
      <c r="U39" s="124"/>
      <c r="V39" s="124"/>
      <c r="W39" s="125"/>
    </row>
    <row r="40" spans="2:23" x14ac:dyDescent="0.25">
      <c r="K40" s="123"/>
      <c r="L40" s="124"/>
      <c r="M40" s="124"/>
      <c r="N40" s="124"/>
      <c r="O40" s="124"/>
      <c r="P40" s="124"/>
      <c r="Q40" s="124"/>
      <c r="R40" s="124"/>
      <c r="S40" s="124"/>
      <c r="T40" s="124"/>
      <c r="U40" s="124"/>
      <c r="V40" s="124"/>
      <c r="W40" s="125"/>
    </row>
    <row r="41" spans="2:23" x14ac:dyDescent="0.25">
      <c r="K41" s="123"/>
      <c r="L41" s="124"/>
      <c r="M41" s="124"/>
      <c r="N41" s="124"/>
      <c r="O41" s="124"/>
      <c r="P41" s="124"/>
      <c r="Q41" s="124"/>
      <c r="R41" s="124"/>
      <c r="S41" s="124"/>
      <c r="T41" s="124"/>
      <c r="U41" s="124"/>
      <c r="V41" s="124"/>
      <c r="W41" s="125"/>
    </row>
    <row r="42" spans="2:23" x14ac:dyDescent="0.25">
      <c r="K42" s="123"/>
      <c r="L42" s="124"/>
      <c r="M42" s="124"/>
      <c r="N42" s="124"/>
      <c r="O42" s="124"/>
      <c r="P42" s="124"/>
      <c r="Q42" s="124"/>
      <c r="R42" s="124"/>
      <c r="S42" s="124"/>
      <c r="T42" s="124"/>
      <c r="U42" s="124"/>
      <c r="V42" s="124"/>
      <c r="W42" s="125"/>
    </row>
    <row r="43" spans="2:23" x14ac:dyDescent="0.25">
      <c r="K43" s="123"/>
      <c r="L43" s="124"/>
      <c r="M43" s="124"/>
      <c r="N43" s="124"/>
      <c r="O43" s="124"/>
      <c r="P43" s="124"/>
      <c r="Q43" s="124"/>
      <c r="R43" s="124"/>
      <c r="S43" s="124"/>
      <c r="T43" s="124"/>
      <c r="U43" s="124"/>
      <c r="V43" s="124"/>
      <c r="W43" s="125"/>
    </row>
    <row r="44" spans="2:23" x14ac:dyDescent="0.25">
      <c r="K44" s="123"/>
      <c r="L44" s="124"/>
      <c r="M44" s="124"/>
      <c r="N44" s="124"/>
      <c r="O44" s="124"/>
      <c r="P44" s="124"/>
      <c r="Q44" s="124"/>
      <c r="R44" s="124"/>
      <c r="S44" s="124"/>
      <c r="T44" s="124"/>
      <c r="U44" s="124"/>
      <c r="V44" s="124"/>
      <c r="W44" s="125"/>
    </row>
    <row r="45" spans="2:23" x14ac:dyDescent="0.25">
      <c r="K45" s="123"/>
      <c r="L45" s="124"/>
      <c r="M45" s="124"/>
      <c r="N45" s="124"/>
      <c r="O45" s="124"/>
      <c r="P45" s="124"/>
      <c r="Q45" s="124"/>
      <c r="R45" s="124"/>
      <c r="S45" s="124"/>
      <c r="T45" s="124"/>
      <c r="U45" s="124"/>
      <c r="V45" s="124"/>
      <c r="W45" s="125"/>
    </row>
    <row r="46" spans="2:23" x14ac:dyDescent="0.25">
      <c r="K46" s="123"/>
      <c r="L46" s="124"/>
      <c r="M46" s="124"/>
      <c r="N46" s="124"/>
      <c r="O46" s="124"/>
      <c r="P46" s="124"/>
      <c r="Q46" s="124"/>
      <c r="R46" s="124"/>
      <c r="S46" s="124"/>
      <c r="T46" s="124"/>
      <c r="U46" s="124"/>
      <c r="V46" s="124"/>
      <c r="W46" s="125"/>
    </row>
    <row r="47" spans="2:23" x14ac:dyDescent="0.25">
      <c r="K47" s="123"/>
      <c r="L47" s="124"/>
      <c r="M47" s="124"/>
      <c r="N47" s="124"/>
      <c r="O47" s="124"/>
      <c r="P47" s="124"/>
      <c r="Q47" s="124"/>
      <c r="R47" s="124"/>
      <c r="S47" s="124"/>
      <c r="T47" s="124"/>
      <c r="U47" s="124"/>
      <c r="V47" s="124"/>
      <c r="W47" s="125"/>
    </row>
    <row r="48" spans="2:23" x14ac:dyDescent="0.25">
      <c r="K48" s="123"/>
      <c r="L48" s="124"/>
      <c r="M48" s="124"/>
      <c r="N48" s="124"/>
      <c r="O48" s="124"/>
      <c r="P48" s="124"/>
      <c r="Q48" s="124"/>
      <c r="R48" s="124"/>
      <c r="S48" s="124"/>
      <c r="T48" s="124"/>
      <c r="U48" s="124"/>
      <c r="V48" s="124"/>
      <c r="W48" s="125"/>
    </row>
    <row r="49" spans="2:23" x14ac:dyDescent="0.25">
      <c r="K49" s="123"/>
      <c r="L49" s="124"/>
      <c r="M49" s="124"/>
      <c r="N49" s="124"/>
      <c r="O49" s="124"/>
      <c r="P49" s="124"/>
      <c r="Q49" s="124"/>
      <c r="R49" s="124"/>
      <c r="S49" s="124"/>
      <c r="T49" s="124"/>
      <c r="U49" s="124"/>
      <c r="V49" s="124"/>
      <c r="W49" s="125"/>
    </row>
    <row r="50" spans="2:23" x14ac:dyDescent="0.25">
      <c r="K50" s="123"/>
      <c r="L50" s="124"/>
      <c r="M50" s="124"/>
      <c r="N50" s="124"/>
      <c r="O50" s="124"/>
      <c r="P50" s="124"/>
      <c r="Q50" s="124"/>
      <c r="R50" s="124"/>
      <c r="S50" s="124"/>
      <c r="T50" s="124"/>
      <c r="U50" s="124"/>
      <c r="V50" s="124"/>
      <c r="W50" s="125"/>
    </row>
    <row r="51" spans="2:23" x14ac:dyDescent="0.25">
      <c r="K51" s="123"/>
      <c r="L51" s="124"/>
      <c r="M51" s="124"/>
      <c r="N51" s="124"/>
      <c r="O51" s="124"/>
      <c r="P51" s="124"/>
      <c r="Q51" s="124"/>
      <c r="R51" s="124"/>
      <c r="S51" s="124"/>
      <c r="T51" s="124"/>
      <c r="U51" s="124"/>
      <c r="V51" s="124"/>
      <c r="W51" s="125"/>
    </row>
    <row r="52" spans="2:23" x14ac:dyDescent="0.25">
      <c r="K52" s="123"/>
      <c r="L52" s="124"/>
      <c r="M52" s="124"/>
      <c r="N52" s="124"/>
      <c r="O52" s="124"/>
      <c r="P52" s="124"/>
      <c r="Q52" s="124"/>
      <c r="R52" s="124"/>
      <c r="S52" s="124"/>
      <c r="T52" s="124"/>
      <c r="U52" s="124"/>
      <c r="V52" s="124"/>
      <c r="W52" s="125"/>
    </row>
    <row r="53" spans="2:23" x14ac:dyDescent="0.25">
      <c r="K53" s="123"/>
      <c r="L53" s="124"/>
      <c r="M53" s="124"/>
      <c r="N53" s="124"/>
      <c r="O53" s="124"/>
      <c r="P53" s="124"/>
      <c r="Q53" s="124"/>
      <c r="R53" s="124"/>
      <c r="S53" s="124"/>
      <c r="T53" s="124"/>
      <c r="U53" s="124"/>
      <c r="V53" s="124"/>
      <c r="W53" s="125"/>
    </row>
    <row r="54" spans="2:23" x14ac:dyDescent="0.25">
      <c r="K54" s="123"/>
      <c r="L54" s="124"/>
      <c r="M54" s="124"/>
      <c r="N54" s="124"/>
      <c r="O54" s="124"/>
      <c r="P54" s="124"/>
      <c r="Q54" s="124"/>
      <c r="R54" s="124"/>
      <c r="S54" s="124"/>
      <c r="T54" s="124"/>
      <c r="U54" s="124"/>
      <c r="V54" s="124"/>
      <c r="W54" s="125"/>
    </row>
    <row r="55" spans="2:23" x14ac:dyDescent="0.25">
      <c r="K55" s="123"/>
      <c r="L55" s="124"/>
      <c r="M55" s="124"/>
      <c r="N55" s="124"/>
      <c r="O55" s="124"/>
      <c r="P55" s="124"/>
      <c r="Q55" s="124"/>
      <c r="R55" s="124"/>
      <c r="S55" s="124"/>
      <c r="T55" s="124"/>
      <c r="U55" s="124"/>
      <c r="V55" s="124"/>
      <c r="W55" s="125"/>
    </row>
    <row r="56" spans="2:23" x14ac:dyDescent="0.25">
      <c r="K56" s="123"/>
      <c r="L56" s="124"/>
      <c r="M56" s="124"/>
      <c r="N56" s="124"/>
      <c r="O56" s="124"/>
      <c r="P56" s="124"/>
      <c r="Q56" s="124"/>
      <c r="R56" s="124"/>
      <c r="S56" s="124"/>
      <c r="T56" s="124"/>
      <c r="U56" s="124"/>
      <c r="V56" s="124"/>
      <c r="W56" s="125"/>
    </row>
    <row r="57" spans="2:23" x14ac:dyDescent="0.25">
      <c r="K57" s="123"/>
      <c r="L57" s="124"/>
      <c r="M57" s="124"/>
      <c r="N57" s="124"/>
      <c r="O57" s="124"/>
      <c r="P57" s="124"/>
      <c r="Q57" s="124"/>
      <c r="R57" s="124"/>
      <c r="S57" s="124"/>
      <c r="T57" s="124"/>
      <c r="U57" s="124"/>
      <c r="V57" s="124"/>
      <c r="W57" s="125"/>
    </row>
    <row r="58" spans="2:23" x14ac:dyDescent="0.25">
      <c r="K58" s="123"/>
      <c r="L58" s="124"/>
      <c r="M58" s="124"/>
      <c r="N58" s="124"/>
      <c r="O58" s="124"/>
      <c r="P58" s="124"/>
      <c r="Q58" s="124"/>
      <c r="R58" s="124"/>
      <c r="S58" s="124"/>
      <c r="T58" s="124"/>
      <c r="U58" s="124"/>
      <c r="V58" s="124"/>
      <c r="W58" s="125"/>
    </row>
    <row r="59" spans="2:23" x14ac:dyDescent="0.25">
      <c r="K59" s="123"/>
      <c r="L59" s="124"/>
      <c r="M59" s="124"/>
      <c r="N59" s="124"/>
      <c r="O59" s="124"/>
      <c r="P59" s="124"/>
      <c r="Q59" s="124"/>
      <c r="R59" s="124"/>
      <c r="S59" s="124"/>
      <c r="T59" s="124"/>
      <c r="U59" s="124"/>
      <c r="V59" s="124"/>
      <c r="W59" s="125"/>
    </row>
    <row r="60" spans="2:23" x14ac:dyDescent="0.25">
      <c r="K60" s="123"/>
      <c r="L60" s="124"/>
      <c r="M60" s="124"/>
      <c r="N60" s="124"/>
      <c r="O60" s="124"/>
      <c r="P60" s="124"/>
      <c r="Q60" s="124"/>
      <c r="R60" s="124"/>
      <c r="S60" s="124"/>
      <c r="T60" s="124"/>
      <c r="U60" s="124"/>
      <c r="V60" s="124"/>
      <c r="W60" s="125"/>
    </row>
    <row r="61" spans="2:23" ht="19.5" thickBot="1" x14ac:dyDescent="0.3">
      <c r="B61" s="94" t="s">
        <v>36</v>
      </c>
      <c r="C61" s="94"/>
      <c r="D61" s="94"/>
      <c r="E61" s="94"/>
      <c r="F61" s="94"/>
      <c r="G61" s="94"/>
      <c r="K61" s="126"/>
      <c r="L61" s="127"/>
      <c r="M61" s="127"/>
      <c r="N61" s="127"/>
      <c r="O61" s="127"/>
      <c r="P61" s="127"/>
      <c r="Q61" s="127"/>
      <c r="R61" s="127"/>
      <c r="S61" s="127"/>
      <c r="T61" s="127"/>
      <c r="U61" s="127"/>
      <c r="V61" s="127"/>
      <c r="W61" s="128"/>
    </row>
    <row r="62" spans="2:23" ht="16.5" thickBot="1" x14ac:dyDescent="0.3">
      <c r="B62" s="73" t="s">
        <v>37</v>
      </c>
      <c r="C62" s="76">
        <v>0</v>
      </c>
      <c r="D62" s="78">
        <v>1</v>
      </c>
      <c r="E62" s="96">
        <v>2</v>
      </c>
      <c r="F62" s="97">
        <v>3</v>
      </c>
      <c r="G62" s="80">
        <v>4</v>
      </c>
      <c r="H62" s="21" t="s">
        <v>38</v>
      </c>
    </row>
    <row r="63" spans="2:23" x14ac:dyDescent="0.25">
      <c r="C63" s="95" t="s">
        <v>39</v>
      </c>
      <c r="D63" s="95"/>
      <c r="E63" s="95"/>
      <c r="F63" s="95"/>
      <c r="G63" s="95" t="s">
        <v>40</v>
      </c>
    </row>
    <row r="64" spans="2:23" x14ac:dyDescent="0.25">
      <c r="C64" s="105">
        <f>COUNTIF(RISK_ASSESSMENT,C$62)</f>
        <v>0</v>
      </c>
      <c r="D64" s="105">
        <f>COUNTIF(RISK_ASSESSMENT,D$62)</f>
        <v>0</v>
      </c>
      <c r="E64" s="105">
        <f>COUNTIF(RISK_ASSESSMENT,E$62)</f>
        <v>0</v>
      </c>
      <c r="F64" s="105">
        <f>COUNTIF(RISK_ASSESSMENT,F$62)</f>
        <v>0</v>
      </c>
      <c r="G64" s="105">
        <f>COUNTIF(RISK_ASSESSMENT,G$62)</f>
        <v>0</v>
      </c>
    </row>
    <row r="65" spans="2:23" ht="38.25" customHeight="1" thickBot="1" x14ac:dyDescent="0.3"/>
    <row r="66" spans="2:23" ht="19.5" thickBot="1" x14ac:dyDescent="0.3">
      <c r="B66" s="129" t="s">
        <v>41</v>
      </c>
      <c r="C66" s="129"/>
      <c r="D66" s="129"/>
      <c r="E66" s="129"/>
      <c r="F66" s="129"/>
      <c r="G66" s="129"/>
      <c r="K66" s="115" t="str">
        <f xml:space="preserve"> _xlfn.CONCAT("Bewertung / Assessment: Round ",B37)</f>
        <v>Bewertung / Assessment: Round 2</v>
      </c>
      <c r="L66" s="140"/>
      <c r="M66" s="140"/>
      <c r="N66" s="140"/>
      <c r="O66" s="140"/>
      <c r="P66" s="140"/>
      <c r="Q66" s="140"/>
      <c r="R66" s="140"/>
      <c r="S66" s="140"/>
      <c r="T66" s="140"/>
      <c r="U66" s="140"/>
      <c r="V66" s="140"/>
      <c r="W66" s="116"/>
    </row>
    <row r="67" spans="2:23" ht="27" thickBot="1" x14ac:dyDescent="0.3">
      <c r="B67" s="73" t="s">
        <v>37</v>
      </c>
      <c r="C67" s="76" t="s">
        <v>42</v>
      </c>
      <c r="D67" s="78" t="s">
        <v>43</v>
      </c>
      <c r="E67" s="96" t="s">
        <v>44</v>
      </c>
      <c r="F67" s="97" t="s">
        <v>45</v>
      </c>
      <c r="G67" s="80" t="s">
        <v>46</v>
      </c>
      <c r="H67" s="21" t="s">
        <v>38</v>
      </c>
      <c r="K67" s="115" t="s">
        <v>34</v>
      </c>
      <c r="L67" s="116"/>
      <c r="M67" s="117" t="s">
        <v>35</v>
      </c>
      <c r="N67" s="118"/>
      <c r="O67" s="118"/>
      <c r="P67" s="118"/>
      <c r="Q67" s="118"/>
      <c r="R67" s="118"/>
      <c r="S67" s="118"/>
      <c r="T67" s="118"/>
      <c r="U67" s="118"/>
      <c r="V67" s="118"/>
      <c r="W67" s="119"/>
    </row>
    <row r="68" spans="2:23" x14ac:dyDescent="0.25">
      <c r="C68" s="95" t="s">
        <v>39</v>
      </c>
      <c r="D68" s="95"/>
      <c r="E68" s="95"/>
      <c r="F68" s="95"/>
      <c r="G68" s="95" t="s">
        <v>40</v>
      </c>
      <c r="K68" s="120" t="s">
        <v>505</v>
      </c>
      <c r="L68" s="121"/>
      <c r="M68" s="121"/>
      <c r="N68" s="121"/>
      <c r="O68" s="121"/>
      <c r="P68" s="121"/>
      <c r="Q68" s="121"/>
      <c r="R68" s="121"/>
      <c r="S68" s="121"/>
      <c r="T68" s="121"/>
      <c r="U68" s="121"/>
      <c r="V68" s="121"/>
      <c r="W68" s="122"/>
    </row>
    <row r="69" spans="2:23" x14ac:dyDescent="0.25">
      <c r="C69" s="105">
        <f>COUNTIF(RISK_ASSESSMENT,C$67)</f>
        <v>3</v>
      </c>
      <c r="D69" s="105">
        <f>COUNTIF(RISK_ASSESSMENT,D$67)</f>
        <v>1</v>
      </c>
      <c r="E69" s="105">
        <f>COUNTIF(RISK_ASSESSMENT,E$67)</f>
        <v>7</v>
      </c>
      <c r="F69" s="105">
        <f>COUNTIF(RISK_ASSESSMENT,F$67)</f>
        <v>26</v>
      </c>
      <c r="G69" s="105">
        <f>COUNTIF(RISK_ASSESSMENT,G$67)</f>
        <v>5</v>
      </c>
      <c r="K69" s="123"/>
      <c r="L69" s="124"/>
      <c r="M69" s="124"/>
      <c r="N69" s="124"/>
      <c r="O69" s="124"/>
      <c r="P69" s="124"/>
      <c r="Q69" s="124"/>
      <c r="R69" s="124"/>
      <c r="S69" s="124"/>
      <c r="T69" s="124"/>
      <c r="U69" s="124"/>
      <c r="V69" s="124"/>
      <c r="W69" s="125"/>
    </row>
    <row r="70" spans="2:23" x14ac:dyDescent="0.25">
      <c r="K70" s="123"/>
      <c r="L70" s="124"/>
      <c r="M70" s="124"/>
      <c r="N70" s="124"/>
      <c r="O70" s="124"/>
      <c r="P70" s="124"/>
      <c r="Q70" s="124"/>
      <c r="R70" s="124"/>
      <c r="S70" s="124"/>
      <c r="T70" s="124"/>
      <c r="U70" s="124"/>
      <c r="V70" s="124"/>
      <c r="W70" s="125"/>
    </row>
    <row r="71" spans="2:23" x14ac:dyDescent="0.25">
      <c r="K71" s="123"/>
      <c r="L71" s="124"/>
      <c r="M71" s="124"/>
      <c r="N71" s="124"/>
      <c r="O71" s="124"/>
      <c r="P71" s="124"/>
      <c r="Q71" s="124"/>
      <c r="R71" s="124"/>
      <c r="S71" s="124"/>
      <c r="T71" s="124"/>
      <c r="U71" s="124"/>
      <c r="V71" s="124"/>
      <c r="W71" s="125"/>
    </row>
    <row r="72" spans="2:23" x14ac:dyDescent="0.25">
      <c r="K72" s="123"/>
      <c r="L72" s="124"/>
      <c r="M72" s="124"/>
      <c r="N72" s="124"/>
      <c r="O72" s="124"/>
      <c r="P72" s="124"/>
      <c r="Q72" s="124"/>
      <c r="R72" s="124"/>
      <c r="S72" s="124"/>
      <c r="T72" s="124"/>
      <c r="U72" s="124"/>
      <c r="V72" s="124"/>
      <c r="W72" s="125"/>
    </row>
    <row r="73" spans="2:23" x14ac:dyDescent="0.25">
      <c r="K73" s="123"/>
      <c r="L73" s="124"/>
      <c r="M73" s="124"/>
      <c r="N73" s="124"/>
      <c r="O73" s="124"/>
      <c r="P73" s="124"/>
      <c r="Q73" s="124"/>
      <c r="R73" s="124"/>
      <c r="S73" s="124"/>
      <c r="T73" s="124"/>
      <c r="U73" s="124"/>
      <c r="V73" s="124"/>
      <c r="W73" s="125"/>
    </row>
    <row r="74" spans="2:23" x14ac:dyDescent="0.25">
      <c r="K74" s="123"/>
      <c r="L74" s="124"/>
      <c r="M74" s="124"/>
      <c r="N74" s="124"/>
      <c r="O74" s="124"/>
      <c r="P74" s="124"/>
      <c r="Q74" s="124"/>
      <c r="R74" s="124"/>
      <c r="S74" s="124"/>
      <c r="T74" s="124"/>
      <c r="U74" s="124"/>
      <c r="V74" s="124"/>
      <c r="W74" s="125"/>
    </row>
    <row r="75" spans="2:23" x14ac:dyDescent="0.25">
      <c r="K75" s="123"/>
      <c r="L75" s="124"/>
      <c r="M75" s="124"/>
      <c r="N75" s="124"/>
      <c r="O75" s="124"/>
      <c r="P75" s="124"/>
      <c r="Q75" s="124"/>
      <c r="R75" s="124"/>
      <c r="S75" s="124"/>
      <c r="T75" s="124"/>
      <c r="U75" s="124"/>
      <c r="V75" s="124"/>
      <c r="W75" s="125"/>
    </row>
    <row r="76" spans="2:23" x14ac:dyDescent="0.25">
      <c r="K76" s="123"/>
      <c r="L76" s="124"/>
      <c r="M76" s="124"/>
      <c r="N76" s="124"/>
      <c r="O76" s="124"/>
      <c r="P76" s="124"/>
      <c r="Q76" s="124"/>
      <c r="R76" s="124"/>
      <c r="S76" s="124"/>
      <c r="T76" s="124"/>
      <c r="U76" s="124"/>
      <c r="V76" s="124"/>
      <c r="W76" s="125"/>
    </row>
    <row r="77" spans="2:23" x14ac:dyDescent="0.25">
      <c r="K77" s="123"/>
      <c r="L77" s="124"/>
      <c r="M77" s="124"/>
      <c r="N77" s="124"/>
      <c r="O77" s="124"/>
      <c r="P77" s="124"/>
      <c r="Q77" s="124"/>
      <c r="R77" s="124"/>
      <c r="S77" s="124"/>
      <c r="T77" s="124"/>
      <c r="U77" s="124"/>
      <c r="V77" s="124"/>
      <c r="W77" s="125"/>
    </row>
    <row r="78" spans="2:23" x14ac:dyDescent="0.25">
      <c r="K78" s="123"/>
      <c r="L78" s="124"/>
      <c r="M78" s="124"/>
      <c r="N78" s="124"/>
      <c r="O78" s="124"/>
      <c r="P78" s="124"/>
      <c r="Q78" s="124"/>
      <c r="R78" s="124"/>
      <c r="S78" s="124"/>
      <c r="T78" s="124"/>
      <c r="U78" s="124"/>
      <c r="V78" s="124"/>
      <c r="W78" s="125"/>
    </row>
    <row r="79" spans="2:23" x14ac:dyDescent="0.25">
      <c r="K79" s="123"/>
      <c r="L79" s="124"/>
      <c r="M79" s="124"/>
      <c r="N79" s="124"/>
      <c r="O79" s="124"/>
      <c r="P79" s="124"/>
      <c r="Q79" s="124"/>
      <c r="R79" s="124"/>
      <c r="S79" s="124"/>
      <c r="T79" s="124"/>
      <c r="U79" s="124"/>
      <c r="V79" s="124"/>
      <c r="W79" s="125"/>
    </row>
    <row r="80" spans="2:23" x14ac:dyDescent="0.25">
      <c r="K80" s="123"/>
      <c r="L80" s="124"/>
      <c r="M80" s="124"/>
      <c r="N80" s="124"/>
      <c r="O80" s="124"/>
      <c r="P80" s="124"/>
      <c r="Q80" s="124"/>
      <c r="R80" s="124"/>
      <c r="S80" s="124"/>
      <c r="T80" s="124"/>
      <c r="U80" s="124"/>
      <c r="V80" s="124"/>
      <c r="W80" s="125"/>
    </row>
    <row r="81" spans="11:23" x14ac:dyDescent="0.25">
      <c r="K81" s="123"/>
      <c r="L81" s="124"/>
      <c r="M81" s="124"/>
      <c r="N81" s="124"/>
      <c r="O81" s="124"/>
      <c r="P81" s="124"/>
      <c r="Q81" s="124"/>
      <c r="R81" s="124"/>
      <c r="S81" s="124"/>
      <c r="T81" s="124"/>
      <c r="U81" s="124"/>
      <c r="V81" s="124"/>
      <c r="W81" s="125"/>
    </row>
    <row r="82" spans="11:23" x14ac:dyDescent="0.25">
      <c r="K82" s="123"/>
      <c r="L82" s="124"/>
      <c r="M82" s="124"/>
      <c r="N82" s="124"/>
      <c r="O82" s="124"/>
      <c r="P82" s="124"/>
      <c r="Q82" s="124"/>
      <c r="R82" s="124"/>
      <c r="S82" s="124"/>
      <c r="T82" s="124"/>
      <c r="U82" s="124"/>
      <c r="V82" s="124"/>
      <c r="W82" s="125"/>
    </row>
    <row r="83" spans="11:23" x14ac:dyDescent="0.25">
      <c r="K83" s="123"/>
      <c r="L83" s="124"/>
      <c r="M83" s="124"/>
      <c r="N83" s="124"/>
      <c r="O83" s="124"/>
      <c r="P83" s="124"/>
      <c r="Q83" s="124"/>
      <c r="R83" s="124"/>
      <c r="S83" s="124"/>
      <c r="T83" s="124"/>
      <c r="U83" s="124"/>
      <c r="V83" s="124"/>
      <c r="W83" s="125"/>
    </row>
    <row r="84" spans="11:23" x14ac:dyDescent="0.25">
      <c r="K84" s="123"/>
      <c r="L84" s="124"/>
      <c r="M84" s="124"/>
      <c r="N84" s="124"/>
      <c r="O84" s="124"/>
      <c r="P84" s="124"/>
      <c r="Q84" s="124"/>
      <c r="R84" s="124"/>
      <c r="S84" s="124"/>
      <c r="T84" s="124"/>
      <c r="U84" s="124"/>
      <c r="V84" s="124"/>
      <c r="W84" s="125"/>
    </row>
    <row r="85" spans="11:23" x14ac:dyDescent="0.25">
      <c r="K85" s="123"/>
      <c r="L85" s="124"/>
      <c r="M85" s="124"/>
      <c r="N85" s="124"/>
      <c r="O85" s="124"/>
      <c r="P85" s="124"/>
      <c r="Q85" s="124"/>
      <c r="R85" s="124"/>
      <c r="S85" s="124"/>
      <c r="T85" s="124"/>
      <c r="U85" s="124"/>
      <c r="V85" s="124"/>
      <c r="W85" s="125"/>
    </row>
    <row r="86" spans="11:23" x14ac:dyDescent="0.25">
      <c r="K86" s="123"/>
      <c r="L86" s="124"/>
      <c r="M86" s="124"/>
      <c r="N86" s="124"/>
      <c r="O86" s="124"/>
      <c r="P86" s="124"/>
      <c r="Q86" s="124"/>
      <c r="R86" s="124"/>
      <c r="S86" s="124"/>
      <c r="T86" s="124"/>
      <c r="U86" s="124"/>
      <c r="V86" s="124"/>
      <c r="W86" s="125"/>
    </row>
    <row r="87" spans="11:23" x14ac:dyDescent="0.25">
      <c r="K87" s="123"/>
      <c r="L87" s="124"/>
      <c r="M87" s="124"/>
      <c r="N87" s="124"/>
      <c r="O87" s="124"/>
      <c r="P87" s="124"/>
      <c r="Q87" s="124"/>
      <c r="R87" s="124"/>
      <c r="S87" s="124"/>
      <c r="T87" s="124"/>
      <c r="U87" s="124"/>
      <c r="V87" s="124"/>
      <c r="W87" s="125"/>
    </row>
    <row r="88" spans="11:23" x14ac:dyDescent="0.25">
      <c r="K88" s="123"/>
      <c r="L88" s="124"/>
      <c r="M88" s="124"/>
      <c r="N88" s="124"/>
      <c r="O88" s="124"/>
      <c r="P88" s="124"/>
      <c r="Q88" s="124"/>
      <c r="R88" s="124"/>
      <c r="S88" s="124"/>
      <c r="T88" s="124"/>
      <c r="U88" s="124"/>
      <c r="V88" s="124"/>
      <c r="W88" s="125"/>
    </row>
    <row r="89" spans="11:23" x14ac:dyDescent="0.25">
      <c r="K89" s="123"/>
      <c r="L89" s="124"/>
      <c r="M89" s="124"/>
      <c r="N89" s="124"/>
      <c r="O89" s="124"/>
      <c r="P89" s="124"/>
      <c r="Q89" s="124"/>
      <c r="R89" s="124"/>
      <c r="S89" s="124"/>
      <c r="T89" s="124"/>
      <c r="U89" s="124"/>
      <c r="V89" s="124"/>
      <c r="W89" s="125"/>
    </row>
    <row r="90" spans="11:23" x14ac:dyDescent="0.25">
      <c r="K90" s="123"/>
      <c r="L90" s="124"/>
      <c r="M90" s="124"/>
      <c r="N90" s="124"/>
      <c r="O90" s="124"/>
      <c r="P90" s="124"/>
      <c r="Q90" s="124"/>
      <c r="R90" s="124"/>
      <c r="S90" s="124"/>
      <c r="T90" s="124"/>
      <c r="U90" s="124"/>
      <c r="V90" s="124"/>
      <c r="W90" s="125"/>
    </row>
    <row r="91" spans="11:23" x14ac:dyDescent="0.25">
      <c r="K91" s="123"/>
      <c r="L91" s="124"/>
      <c r="M91" s="124"/>
      <c r="N91" s="124"/>
      <c r="O91" s="124"/>
      <c r="P91" s="124"/>
      <c r="Q91" s="124"/>
      <c r="R91" s="124"/>
      <c r="S91" s="124"/>
      <c r="T91" s="124"/>
      <c r="U91" s="124"/>
      <c r="V91" s="124"/>
      <c r="W91" s="125"/>
    </row>
    <row r="92" spans="11:23" x14ac:dyDescent="0.25">
      <c r="K92" s="123"/>
      <c r="L92" s="124"/>
      <c r="M92" s="124"/>
      <c r="N92" s="124"/>
      <c r="O92" s="124"/>
      <c r="P92" s="124"/>
      <c r="Q92" s="124"/>
      <c r="R92" s="124"/>
      <c r="S92" s="124"/>
      <c r="T92" s="124"/>
      <c r="U92" s="124"/>
      <c r="V92" s="124"/>
      <c r="W92" s="125"/>
    </row>
    <row r="93" spans="11:23" x14ac:dyDescent="0.25">
      <c r="K93" s="123"/>
      <c r="L93" s="124"/>
      <c r="M93" s="124"/>
      <c r="N93" s="124"/>
      <c r="O93" s="124"/>
      <c r="P93" s="124"/>
      <c r="Q93" s="124"/>
      <c r="R93" s="124"/>
      <c r="S93" s="124"/>
      <c r="T93" s="124"/>
      <c r="U93" s="124"/>
      <c r="V93" s="124"/>
      <c r="W93" s="125"/>
    </row>
    <row r="94" spans="11:23" ht="15.75" thickBot="1" x14ac:dyDescent="0.3">
      <c r="K94" s="126"/>
      <c r="L94" s="127"/>
      <c r="M94" s="127"/>
      <c r="N94" s="127"/>
      <c r="O94" s="127"/>
      <c r="P94" s="127"/>
      <c r="Q94" s="127"/>
      <c r="R94" s="127"/>
      <c r="S94" s="127"/>
      <c r="T94" s="127"/>
      <c r="U94" s="127"/>
      <c r="V94" s="127"/>
      <c r="W94" s="128"/>
    </row>
  </sheetData>
  <mergeCells count="42">
    <mergeCell ref="K67:L67"/>
    <mergeCell ref="M67:W67"/>
    <mergeCell ref="K68:W94"/>
    <mergeCell ref="B26:J26"/>
    <mergeCell ref="C13:E13"/>
    <mergeCell ref="H13:J13"/>
    <mergeCell ref="K66:W66"/>
    <mergeCell ref="C22:E22"/>
    <mergeCell ref="C21:E21"/>
    <mergeCell ref="C20:E20"/>
    <mergeCell ref="C19:E19"/>
    <mergeCell ref="C18:E18"/>
    <mergeCell ref="C17:E17"/>
    <mergeCell ref="C16:E16"/>
    <mergeCell ref="C15:E15"/>
    <mergeCell ref="K33:W33"/>
    <mergeCell ref="C12:E12"/>
    <mergeCell ref="H12:J12"/>
    <mergeCell ref="H14:J14"/>
    <mergeCell ref="H15:J15"/>
    <mergeCell ref="C23:E23"/>
    <mergeCell ref="H18:J18"/>
    <mergeCell ref="H19:J19"/>
    <mergeCell ref="H20:J20"/>
    <mergeCell ref="H21:J21"/>
    <mergeCell ref="C14:E14"/>
    <mergeCell ref="K34:L34"/>
    <mergeCell ref="M34:W34"/>
    <mergeCell ref="K35:W61"/>
    <mergeCell ref="B66:G66"/>
    <mergeCell ref="B3:J3"/>
    <mergeCell ref="B11:J11"/>
    <mergeCell ref="C7:J7"/>
    <mergeCell ref="C6:J6"/>
    <mergeCell ref="C5:J5"/>
    <mergeCell ref="C4:J4"/>
    <mergeCell ref="C8:J8"/>
    <mergeCell ref="H22:J22"/>
    <mergeCell ref="H23:J23"/>
    <mergeCell ref="B34:H34"/>
    <mergeCell ref="H16:J16"/>
    <mergeCell ref="H17:J17"/>
  </mergeCells>
  <conditionalFormatting sqref="B27:B31">
    <cfRule type="cellIs" dxfId="299" priority="1" operator="equal">
      <formula>"4"</formula>
    </cfRule>
    <cfRule type="cellIs" dxfId="298" priority="2" operator="equal">
      <formula>"3"</formula>
    </cfRule>
    <cfRule type="cellIs" dxfId="297" priority="3" operator="equal">
      <formula>"2"</formula>
    </cfRule>
    <cfRule type="cellIs" dxfId="296" priority="4" operator="equal">
      <formula>"1"</formula>
    </cfRule>
    <cfRule type="cellIs" dxfId="295" priority="5" operator="equal">
      <formula>"0"</formula>
    </cfRule>
  </conditionalFormatting>
  <pageMargins left="0.7" right="0.7" top="0.78740157499999996" bottom="0.78740157499999996"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R236"/>
  <sheetViews>
    <sheetView topLeftCell="B1" zoomScale="85" zoomScaleNormal="85" workbookViewId="0">
      <selection activeCell="B1" sqref="B1"/>
    </sheetView>
  </sheetViews>
  <sheetFormatPr defaultColWidth="11.42578125" defaultRowHeight="15" outlineLevelCol="1" x14ac:dyDescent="0.25"/>
  <cols>
    <col min="1" max="1" width="20.42578125" style="46" hidden="1" customWidth="1" outlineLevel="1"/>
    <col min="2" max="2" width="18.5703125" style="46" customWidth="1" collapsed="1"/>
    <col min="3" max="3" width="71.140625" style="48" customWidth="1"/>
    <col min="4" max="4" width="70" style="48" customWidth="1"/>
    <col min="5" max="5" width="20.42578125" style="30" hidden="1" customWidth="1" outlineLevel="1"/>
    <col min="6" max="7" width="40.85546875" style="47" hidden="1" customWidth="1" outlineLevel="1"/>
    <col min="8" max="8" width="2.7109375" style="47" customWidth="1" collapsed="1"/>
    <col min="9" max="9" width="20.42578125" style="30" customWidth="1" outlineLevel="1"/>
    <col min="10" max="10" width="44.28515625" style="29" customWidth="1" outlineLevel="1"/>
    <col min="11" max="11" width="40.85546875" style="47" customWidth="1" outlineLevel="1"/>
    <col min="12" max="12" width="2.7109375" style="47" customWidth="1"/>
    <col min="13" max="13" width="20.42578125" style="30" hidden="1" customWidth="1" outlineLevel="1"/>
    <col min="14" max="14" width="20.140625" style="29" hidden="1" customWidth="1" outlineLevel="1"/>
    <col min="15" max="15" width="40.85546875" style="47" hidden="1" customWidth="1" outlineLevel="1"/>
    <col min="16" max="16" width="2.7109375" style="47" customWidth="1" collapsed="1"/>
    <col min="17" max="17" width="20.140625" style="29" customWidth="1" outlineLevel="1"/>
    <col min="18" max="18" width="20.140625" style="29" hidden="1" customWidth="1" outlineLevel="1"/>
    <col min="19" max="16384" width="11.42578125" style="21"/>
  </cols>
  <sheetData>
    <row r="1" spans="1:18" ht="15.75" thickBot="1" x14ac:dyDescent="0.3">
      <c r="A1" s="58"/>
      <c r="B1" s="58"/>
      <c r="C1" s="89"/>
      <c r="D1" s="89"/>
      <c r="E1" s="59"/>
      <c r="F1" s="60"/>
      <c r="G1" s="60"/>
      <c r="H1" s="60"/>
      <c r="I1" s="59"/>
      <c r="J1" s="59"/>
      <c r="K1" s="60"/>
      <c r="L1" s="60"/>
      <c r="M1" s="59"/>
      <c r="N1" s="59"/>
      <c r="O1" s="60"/>
      <c r="P1" s="60"/>
      <c r="Q1" s="48"/>
      <c r="R1" s="48"/>
    </row>
    <row r="2" spans="1:18" ht="32.25" thickBot="1" x14ac:dyDescent="0.3">
      <c r="A2" s="8"/>
      <c r="B2" s="8" t="s">
        <v>47</v>
      </c>
      <c r="C2" s="8" t="s">
        <v>48</v>
      </c>
      <c r="D2" s="8" t="s">
        <v>49</v>
      </c>
      <c r="E2" s="141" t="s">
        <v>50</v>
      </c>
      <c r="F2" s="142"/>
      <c r="G2" s="142"/>
      <c r="H2" s="106" t="s">
        <v>24</v>
      </c>
      <c r="I2" s="141" t="s">
        <v>51</v>
      </c>
      <c r="J2" s="142"/>
      <c r="K2" s="142"/>
      <c r="L2" s="106" t="s">
        <v>26</v>
      </c>
      <c r="M2" s="141" t="s">
        <v>52</v>
      </c>
      <c r="N2" s="142"/>
      <c r="O2" s="142"/>
      <c r="P2" s="106" t="s">
        <v>28</v>
      </c>
      <c r="Q2" s="61"/>
      <c r="R2" s="61"/>
    </row>
    <row r="3" spans="1:18" s="53" customFormat="1" ht="32.25" thickBot="1" x14ac:dyDescent="0.3">
      <c r="A3" s="108" t="s">
        <v>53</v>
      </c>
      <c r="B3" s="49" t="s">
        <v>54</v>
      </c>
      <c r="C3" s="36" t="s">
        <v>55</v>
      </c>
      <c r="D3" s="36" t="s">
        <v>56</v>
      </c>
      <c r="E3" s="43" t="s">
        <v>57</v>
      </c>
      <c r="F3" s="9" t="s">
        <v>18</v>
      </c>
      <c r="G3" s="38" t="s">
        <v>58</v>
      </c>
      <c r="H3" s="81"/>
      <c r="I3" s="43" t="s">
        <v>57</v>
      </c>
      <c r="J3" s="9" t="s">
        <v>18</v>
      </c>
      <c r="K3" s="38" t="s">
        <v>58</v>
      </c>
      <c r="L3" s="81"/>
      <c r="M3" s="43" t="s">
        <v>57</v>
      </c>
      <c r="N3" s="9" t="s">
        <v>18</v>
      </c>
      <c r="O3" s="9" t="s">
        <v>58</v>
      </c>
      <c r="P3" s="81"/>
      <c r="Q3" s="102" t="s">
        <v>59</v>
      </c>
      <c r="R3" s="102" t="s">
        <v>60</v>
      </c>
    </row>
    <row r="4" spans="1:18" x14ac:dyDescent="0.25">
      <c r="A4" s="110" t="s">
        <v>61</v>
      </c>
      <c r="B4" s="56">
        <v>3</v>
      </c>
      <c r="C4" s="90" t="s">
        <v>62</v>
      </c>
      <c r="D4" s="90" t="s">
        <v>63</v>
      </c>
      <c r="E4" s="57"/>
      <c r="F4" s="35"/>
      <c r="G4" s="35"/>
      <c r="H4" s="35"/>
      <c r="I4" s="57"/>
      <c r="J4" s="106"/>
      <c r="K4" s="35"/>
      <c r="L4" s="35"/>
      <c r="M4" s="57"/>
      <c r="N4" s="106"/>
      <c r="O4" s="35"/>
      <c r="P4" s="35"/>
      <c r="Q4" s="106"/>
      <c r="R4" s="104"/>
    </row>
    <row r="5" spans="1:18" x14ac:dyDescent="0.25">
      <c r="A5" s="110" t="s">
        <v>61</v>
      </c>
      <c r="B5" s="50" t="s">
        <v>28</v>
      </c>
      <c r="C5" s="41" t="s">
        <v>64</v>
      </c>
      <c r="D5" s="91" t="s">
        <v>65</v>
      </c>
      <c r="E5" s="44" t="s">
        <v>24</v>
      </c>
      <c r="F5" s="11" t="s">
        <v>415</v>
      </c>
      <c r="G5" s="39" t="s">
        <v>416</v>
      </c>
      <c r="H5" s="82"/>
      <c r="I5" s="44" t="s">
        <v>24</v>
      </c>
      <c r="J5" s="11" t="s">
        <v>430</v>
      </c>
      <c r="K5" s="39" t="s">
        <v>416</v>
      </c>
      <c r="L5" s="82"/>
      <c r="M5" s="44"/>
      <c r="N5" s="10"/>
      <c r="O5" s="11"/>
      <c r="P5" s="82"/>
      <c r="Q5" s="100" t="str">
        <f>IF(OR(ISBLANK(I5),I5="4"),'Bewertung - Assessment'!R5,Titel!H$67)</f>
        <v>-</v>
      </c>
      <c r="R5" s="100" t="s">
        <v>42</v>
      </c>
    </row>
    <row r="6" spans="1:18" x14ac:dyDescent="0.25">
      <c r="A6" s="110" t="s">
        <v>61</v>
      </c>
      <c r="B6" s="50" t="s">
        <v>28</v>
      </c>
      <c r="C6" s="41" t="s">
        <v>66</v>
      </c>
      <c r="D6" s="91" t="s">
        <v>67</v>
      </c>
      <c r="E6" s="44" t="s">
        <v>30</v>
      </c>
      <c r="F6" s="39"/>
      <c r="G6" s="39" t="s">
        <v>354</v>
      </c>
      <c r="H6" s="82"/>
      <c r="I6" s="44" t="s">
        <v>30</v>
      </c>
      <c r="J6" s="39"/>
      <c r="K6" s="112" t="s">
        <v>461</v>
      </c>
      <c r="L6" s="82"/>
      <c r="M6" s="44"/>
      <c r="N6" s="10"/>
      <c r="O6" s="11"/>
      <c r="P6" s="82"/>
      <c r="Q6" s="100" t="str">
        <f>IF(OR(ISBLANK(I6),I6="4"),'Bewertung - Assessment'!R6,Titel!H$67)</f>
        <v>D0</v>
      </c>
      <c r="R6" s="100" t="s">
        <v>42</v>
      </c>
    </row>
    <row r="7" spans="1:18" x14ac:dyDescent="0.25">
      <c r="A7" s="110" t="s">
        <v>68</v>
      </c>
      <c r="B7" s="50" t="s">
        <v>28</v>
      </c>
      <c r="C7" s="41" t="s">
        <v>69</v>
      </c>
      <c r="D7" s="91" t="s">
        <v>70</v>
      </c>
      <c r="E7" s="44" t="s">
        <v>30</v>
      </c>
      <c r="F7" s="39"/>
      <c r="G7" s="39" t="s">
        <v>354</v>
      </c>
      <c r="H7" s="82"/>
      <c r="I7" s="44" t="s">
        <v>30</v>
      </c>
      <c r="J7" s="39"/>
      <c r="K7" s="112" t="s">
        <v>461</v>
      </c>
      <c r="L7" s="82"/>
      <c r="M7" s="44"/>
      <c r="N7" s="10"/>
      <c r="O7" s="11"/>
      <c r="P7" s="82"/>
      <c r="Q7" s="100" t="str">
        <f>IF(OR(ISBLANK(I7),I7="4"),'Bewertung - Assessment'!R7,Titel!H$67)</f>
        <v>D0</v>
      </c>
      <c r="R7" s="100" t="s">
        <v>42</v>
      </c>
    </row>
    <row r="8" spans="1:18" ht="30" x14ac:dyDescent="0.25">
      <c r="A8" s="110" t="s">
        <v>61</v>
      </c>
      <c r="B8" s="50" t="s">
        <v>28</v>
      </c>
      <c r="C8" s="41" t="s">
        <v>71</v>
      </c>
      <c r="D8" s="91" t="s">
        <v>72</v>
      </c>
      <c r="E8" s="44" t="s">
        <v>30</v>
      </c>
      <c r="F8" s="39"/>
      <c r="G8" s="39" t="s">
        <v>354</v>
      </c>
      <c r="H8" s="82"/>
      <c r="I8" s="44" t="s">
        <v>22</v>
      </c>
      <c r="J8" s="39"/>
      <c r="K8" s="112" t="s">
        <v>385</v>
      </c>
      <c r="L8" s="82"/>
      <c r="M8" s="44"/>
      <c r="N8" s="10"/>
      <c r="O8" s="11"/>
      <c r="P8" s="82"/>
      <c r="Q8" s="100" t="str">
        <f>IF(OR(ISBLANK(I8),I8="4"),'Bewertung - Assessment'!R8,Titel!H$67)</f>
        <v>-</v>
      </c>
      <c r="R8" s="100" t="s">
        <v>42</v>
      </c>
    </row>
    <row r="9" spans="1:18" x14ac:dyDescent="0.25">
      <c r="A9" s="110" t="s">
        <v>61</v>
      </c>
      <c r="B9" s="50" t="s">
        <v>28</v>
      </c>
      <c r="C9" s="41" t="s">
        <v>73</v>
      </c>
      <c r="D9" s="91" t="s">
        <v>74</v>
      </c>
      <c r="E9" s="44" t="s">
        <v>30</v>
      </c>
      <c r="F9" s="39"/>
      <c r="G9" s="39" t="s">
        <v>354</v>
      </c>
      <c r="H9" s="82"/>
      <c r="I9" s="44" t="s">
        <v>30</v>
      </c>
      <c r="J9" s="39"/>
      <c r="K9" s="112" t="s">
        <v>461</v>
      </c>
      <c r="L9" s="82"/>
      <c r="M9" s="44"/>
      <c r="N9" s="10"/>
      <c r="O9" s="11"/>
      <c r="P9" s="82"/>
      <c r="Q9" s="100" t="str">
        <f>IF(OR(ISBLANK(I9),I9="4"),'Bewertung - Assessment'!R9,Titel!H$67)</f>
        <v>D0</v>
      </c>
      <c r="R9" s="100" t="s">
        <v>42</v>
      </c>
    </row>
    <row r="10" spans="1:18" x14ac:dyDescent="0.25">
      <c r="A10" s="110" t="s">
        <v>61</v>
      </c>
      <c r="B10" s="50" t="s">
        <v>28</v>
      </c>
      <c r="C10" s="41" t="s">
        <v>75</v>
      </c>
      <c r="D10" s="91" t="s">
        <v>76</v>
      </c>
      <c r="E10" s="44" t="s">
        <v>24</v>
      </c>
      <c r="F10" s="39" t="s">
        <v>355</v>
      </c>
      <c r="G10" s="111">
        <v>45737</v>
      </c>
      <c r="H10" s="82"/>
      <c r="I10" s="44" t="s">
        <v>24</v>
      </c>
      <c r="J10" s="39" t="s">
        <v>431</v>
      </c>
      <c r="K10" s="111">
        <v>45793</v>
      </c>
      <c r="L10" s="82"/>
      <c r="M10" s="44"/>
      <c r="N10" s="10"/>
      <c r="O10" s="11"/>
      <c r="P10" s="82"/>
      <c r="Q10" s="100" t="str">
        <f>IF(OR(ISBLANK(I10),I10="4"),'Bewertung - Assessment'!R10,Titel!H$67)</f>
        <v>-</v>
      </c>
      <c r="R10" s="100" t="s">
        <v>42</v>
      </c>
    </row>
    <row r="11" spans="1:18" x14ac:dyDescent="0.25">
      <c r="A11" s="110" t="s">
        <v>61</v>
      </c>
      <c r="B11" s="50" t="s">
        <v>28</v>
      </c>
      <c r="C11" s="41" t="s">
        <v>6</v>
      </c>
      <c r="D11" s="91" t="s">
        <v>6</v>
      </c>
      <c r="E11" s="44" t="s">
        <v>24</v>
      </c>
      <c r="F11" s="39" t="s">
        <v>355</v>
      </c>
      <c r="G11" s="39" t="s">
        <v>356</v>
      </c>
      <c r="H11" s="82"/>
      <c r="I11" s="44" t="s">
        <v>24</v>
      </c>
      <c r="J11" s="39" t="s">
        <v>431</v>
      </c>
      <c r="K11" s="39" t="s">
        <v>424</v>
      </c>
      <c r="L11" s="82"/>
      <c r="M11" s="44"/>
      <c r="N11" s="10"/>
      <c r="O11" s="11"/>
      <c r="P11" s="82"/>
      <c r="Q11" s="100" t="str">
        <f>IF(OR(ISBLANK(I11),I11="4"),'Bewertung - Assessment'!R11,Titel!H$67)</f>
        <v>-</v>
      </c>
      <c r="R11" s="100" t="s">
        <v>42</v>
      </c>
    </row>
    <row r="12" spans="1:18" x14ac:dyDescent="0.25">
      <c r="A12" s="110" t="s">
        <v>61</v>
      </c>
      <c r="B12" s="51" t="s">
        <v>28</v>
      </c>
      <c r="C12" s="92" t="s">
        <v>77</v>
      </c>
      <c r="D12" s="93" t="s">
        <v>78</v>
      </c>
      <c r="E12" s="40"/>
      <c r="F12" s="40"/>
      <c r="G12" s="40"/>
      <c r="H12" s="35"/>
      <c r="I12" s="45"/>
      <c r="J12" s="12"/>
      <c r="K12" s="40"/>
      <c r="L12" s="35"/>
      <c r="M12" s="45"/>
      <c r="N12" s="12"/>
      <c r="O12" s="13"/>
      <c r="P12" s="35"/>
      <c r="Q12" s="5"/>
      <c r="R12" s="5"/>
    </row>
    <row r="13" spans="1:18" x14ac:dyDescent="0.25">
      <c r="A13" s="110" t="s">
        <v>61</v>
      </c>
      <c r="B13" s="50" t="s">
        <v>28</v>
      </c>
      <c r="C13" s="37" t="s">
        <v>79</v>
      </c>
      <c r="D13" s="88" t="s">
        <v>80</v>
      </c>
      <c r="E13" s="44" t="s">
        <v>26</v>
      </c>
      <c r="F13" s="39" t="s">
        <v>369</v>
      </c>
      <c r="G13" s="39" t="s">
        <v>370</v>
      </c>
      <c r="H13" s="82"/>
      <c r="I13" s="44" t="s">
        <v>26</v>
      </c>
      <c r="J13" s="39" t="s">
        <v>432</v>
      </c>
      <c r="K13" s="39" t="s">
        <v>370</v>
      </c>
      <c r="L13" s="82"/>
      <c r="M13" s="44"/>
      <c r="N13" s="10"/>
      <c r="O13" s="11"/>
      <c r="P13" s="82"/>
      <c r="Q13" s="100" t="str">
        <f>IF(OR(ISBLANK(I13),I13="4"),'Bewertung - Assessment'!R13,Titel!H$67)</f>
        <v>-</v>
      </c>
      <c r="R13" s="100" t="s">
        <v>43</v>
      </c>
    </row>
    <row r="14" spans="1:18" x14ac:dyDescent="0.25">
      <c r="A14" s="110" t="s">
        <v>61</v>
      </c>
      <c r="B14" s="50" t="s">
        <v>28</v>
      </c>
      <c r="C14" s="37" t="s">
        <v>81</v>
      </c>
      <c r="D14" s="88" t="s">
        <v>82</v>
      </c>
      <c r="E14" s="44" t="s">
        <v>24</v>
      </c>
      <c r="F14" s="39" t="s">
        <v>357</v>
      </c>
      <c r="G14" s="39" t="s">
        <v>358</v>
      </c>
      <c r="H14" s="82"/>
      <c r="I14" s="44" t="s">
        <v>24</v>
      </c>
      <c r="J14" s="39" t="s">
        <v>433</v>
      </c>
      <c r="K14" s="39" t="s">
        <v>358</v>
      </c>
      <c r="L14" s="82"/>
      <c r="M14" s="44"/>
      <c r="N14" s="10"/>
      <c r="O14" s="11"/>
      <c r="P14" s="82"/>
      <c r="Q14" s="100" t="str">
        <f>IF(OR(ISBLANK(I14),I14="4"),'Bewertung - Assessment'!R14,Titel!H$67)</f>
        <v>-</v>
      </c>
      <c r="R14" s="100" t="s">
        <v>43</v>
      </c>
    </row>
    <row r="15" spans="1:18" ht="150" x14ac:dyDescent="0.25">
      <c r="A15" s="110" t="s">
        <v>61</v>
      </c>
      <c r="B15" s="50" t="s">
        <v>28</v>
      </c>
      <c r="C15" s="37" t="s">
        <v>83</v>
      </c>
      <c r="D15" s="88" t="s">
        <v>84</v>
      </c>
      <c r="E15" s="44" t="s">
        <v>26</v>
      </c>
      <c r="F15" s="39" t="s">
        <v>359</v>
      </c>
      <c r="G15" s="39" t="s">
        <v>360</v>
      </c>
      <c r="H15" s="82"/>
      <c r="I15" s="44" t="s">
        <v>26</v>
      </c>
      <c r="J15" s="39" t="s">
        <v>434</v>
      </c>
      <c r="K15" s="112" t="s">
        <v>492</v>
      </c>
      <c r="L15" s="82"/>
      <c r="M15" s="44"/>
      <c r="N15" s="10"/>
      <c r="O15" s="11"/>
      <c r="P15" s="82"/>
      <c r="Q15" s="100" t="str">
        <f>IF(OR(ISBLANK(I15),I15="4"),'Bewertung - Assessment'!R15,Titel!H$67)</f>
        <v>-</v>
      </c>
      <c r="R15" s="100" t="s">
        <v>43</v>
      </c>
    </row>
    <row r="16" spans="1:18" ht="75" x14ac:dyDescent="0.25">
      <c r="A16" s="110" t="s">
        <v>61</v>
      </c>
      <c r="B16" s="50" t="s">
        <v>28</v>
      </c>
      <c r="C16" s="37" t="s">
        <v>85</v>
      </c>
      <c r="D16" s="88" t="s">
        <v>86</v>
      </c>
      <c r="E16" s="44" t="s">
        <v>26</v>
      </c>
      <c r="F16" s="39" t="s">
        <v>20</v>
      </c>
      <c r="G16" s="39" t="s">
        <v>399</v>
      </c>
      <c r="H16" s="82"/>
      <c r="I16" s="44" t="s">
        <v>26</v>
      </c>
      <c r="J16" s="39" t="s">
        <v>460</v>
      </c>
      <c r="K16" s="39" t="s">
        <v>470</v>
      </c>
      <c r="L16" s="82"/>
      <c r="M16" s="44"/>
      <c r="N16" s="10"/>
      <c r="O16" s="11"/>
      <c r="P16" s="82"/>
      <c r="Q16" s="100" t="str">
        <f>IF(OR(ISBLANK(I16),I16="4"),'Bewertung - Assessment'!R16,Titel!H$67)</f>
        <v>-</v>
      </c>
      <c r="R16" s="100" t="s">
        <v>43</v>
      </c>
    </row>
    <row r="17" spans="1:18" ht="45" x14ac:dyDescent="0.25">
      <c r="A17" s="110" t="s">
        <v>61</v>
      </c>
      <c r="B17" s="50" t="s">
        <v>28</v>
      </c>
      <c r="C17" s="37" t="s">
        <v>87</v>
      </c>
      <c r="D17" s="88" t="s">
        <v>88</v>
      </c>
      <c r="E17" s="44" t="s">
        <v>30</v>
      </c>
      <c r="F17" s="39"/>
      <c r="G17" s="39" t="s">
        <v>354</v>
      </c>
      <c r="H17" s="82"/>
      <c r="I17" s="44" t="s">
        <v>26</v>
      </c>
      <c r="J17" s="10"/>
      <c r="K17" s="112" t="s">
        <v>491</v>
      </c>
      <c r="L17" s="82"/>
      <c r="M17" s="44"/>
      <c r="N17" s="10"/>
      <c r="O17" s="11"/>
      <c r="P17" s="82"/>
      <c r="Q17" s="100" t="str">
        <f>IF(OR(ISBLANK(I17),I17="4"),'Bewertung - Assessment'!R17,Titel!H$67)</f>
        <v>-</v>
      </c>
      <c r="R17" s="100" t="s">
        <v>43</v>
      </c>
    </row>
    <row r="18" spans="1:18" x14ac:dyDescent="0.25">
      <c r="A18" s="110" t="s">
        <v>61</v>
      </c>
      <c r="B18" s="51" t="s">
        <v>28</v>
      </c>
      <c r="C18" s="92" t="s">
        <v>89</v>
      </c>
      <c r="D18" s="93" t="s">
        <v>90</v>
      </c>
      <c r="E18" s="40"/>
      <c r="F18" s="40"/>
      <c r="G18" s="40"/>
      <c r="H18" s="35"/>
      <c r="I18" s="45"/>
      <c r="J18" s="12"/>
      <c r="K18" s="40"/>
      <c r="L18" s="35"/>
      <c r="M18" s="45"/>
      <c r="N18" s="12"/>
      <c r="O18" s="13"/>
      <c r="P18" s="35"/>
      <c r="Q18" s="5"/>
      <c r="R18" s="5"/>
    </row>
    <row r="19" spans="1:18" x14ac:dyDescent="0.25">
      <c r="A19" s="110" t="s">
        <v>61</v>
      </c>
      <c r="B19" s="50" t="s">
        <v>28</v>
      </c>
      <c r="C19" s="37" t="s">
        <v>91</v>
      </c>
      <c r="D19" s="88" t="s">
        <v>92</v>
      </c>
      <c r="E19" s="44" t="s">
        <v>28</v>
      </c>
      <c r="F19" s="39"/>
      <c r="G19" s="39" t="s">
        <v>376</v>
      </c>
      <c r="H19" s="82"/>
      <c r="I19" s="44" t="s">
        <v>24</v>
      </c>
      <c r="J19" s="113" t="s">
        <v>457</v>
      </c>
      <c r="K19" s="39" t="s">
        <v>458</v>
      </c>
      <c r="L19" s="82"/>
      <c r="M19" s="44"/>
      <c r="N19" s="10"/>
      <c r="O19" s="11"/>
      <c r="P19" s="82"/>
      <c r="Q19" s="100" t="str">
        <f>IF(OR(ISBLANK(I19),I19="4"),'Bewertung - Assessment'!R19,Titel!H$67)</f>
        <v>-</v>
      </c>
      <c r="R19" s="100" t="s">
        <v>43</v>
      </c>
    </row>
    <row r="20" spans="1:18" ht="30" x14ac:dyDescent="0.25">
      <c r="A20" s="110" t="s">
        <v>61</v>
      </c>
      <c r="B20" s="50" t="s">
        <v>28</v>
      </c>
      <c r="C20" s="37" t="s">
        <v>93</v>
      </c>
      <c r="D20" s="88" t="s">
        <v>94</v>
      </c>
      <c r="E20" s="44" t="s">
        <v>24</v>
      </c>
      <c r="F20" s="39" t="s">
        <v>374</v>
      </c>
      <c r="G20" s="39"/>
      <c r="H20" s="82"/>
      <c r="I20" s="44" t="s">
        <v>24</v>
      </c>
      <c r="J20" s="39" t="s">
        <v>435</v>
      </c>
      <c r="K20" s="39"/>
      <c r="L20" s="82"/>
      <c r="M20" s="44"/>
      <c r="N20" s="10"/>
      <c r="O20" s="11"/>
      <c r="P20" s="82"/>
      <c r="Q20" s="100" t="str">
        <f>IF(OR(ISBLANK(I20),I20="4"),'Bewertung - Assessment'!R20,Titel!H$67)</f>
        <v>-</v>
      </c>
      <c r="R20" s="100" t="s">
        <v>43</v>
      </c>
    </row>
    <row r="21" spans="1:18" x14ac:dyDescent="0.25">
      <c r="A21" s="110" t="s">
        <v>61</v>
      </c>
      <c r="B21" s="50" t="s">
        <v>28</v>
      </c>
      <c r="C21" s="37" t="s">
        <v>95</v>
      </c>
      <c r="D21" s="88" t="s">
        <v>96</v>
      </c>
      <c r="E21" s="44" t="s">
        <v>24</v>
      </c>
      <c r="F21" s="39" t="s">
        <v>362</v>
      </c>
      <c r="G21" s="39" t="s">
        <v>377</v>
      </c>
      <c r="H21" s="82"/>
      <c r="I21" s="44" t="s">
        <v>24</v>
      </c>
      <c r="J21" s="113" t="s">
        <v>459</v>
      </c>
      <c r="K21" s="39"/>
      <c r="L21" s="82"/>
      <c r="M21" s="44"/>
      <c r="N21" s="10"/>
      <c r="O21" s="11"/>
      <c r="P21" s="82"/>
      <c r="Q21" s="100" t="str">
        <f>IF(OR(ISBLANK(I21),I21="4"),'Bewertung - Assessment'!R21,Titel!H$67)</f>
        <v>-</v>
      </c>
      <c r="R21" s="100" t="s">
        <v>43</v>
      </c>
    </row>
    <row r="22" spans="1:18" ht="30" x14ac:dyDescent="0.25">
      <c r="A22" s="110" t="s">
        <v>61</v>
      </c>
      <c r="B22" s="50" t="s">
        <v>28</v>
      </c>
      <c r="C22" s="37" t="s">
        <v>97</v>
      </c>
      <c r="D22" s="88" t="s">
        <v>98</v>
      </c>
      <c r="E22" s="44" t="s">
        <v>24</v>
      </c>
      <c r="F22" s="39" t="s">
        <v>364</v>
      </c>
      <c r="G22" s="112" t="s">
        <v>365</v>
      </c>
      <c r="H22" s="82"/>
      <c r="I22" s="44" t="s">
        <v>24</v>
      </c>
      <c r="J22" s="39" t="s">
        <v>436</v>
      </c>
      <c r="K22" s="112" t="s">
        <v>365</v>
      </c>
      <c r="L22" s="82"/>
      <c r="M22" s="44"/>
      <c r="N22" s="10"/>
      <c r="O22" s="11"/>
      <c r="P22" s="82"/>
      <c r="Q22" s="100" t="str">
        <f>IF(OR(ISBLANK(I22),I22="4"),'Bewertung - Assessment'!R22,Titel!H$67)</f>
        <v>-</v>
      </c>
      <c r="R22" s="100" t="s">
        <v>43</v>
      </c>
    </row>
    <row r="23" spans="1:18" ht="30" x14ac:dyDescent="0.25">
      <c r="A23" s="110" t="s">
        <v>61</v>
      </c>
      <c r="B23" s="50" t="s">
        <v>28</v>
      </c>
      <c r="C23" s="37" t="s">
        <v>99</v>
      </c>
      <c r="D23" s="88" t="s">
        <v>100</v>
      </c>
      <c r="E23" s="44" t="s">
        <v>30</v>
      </c>
      <c r="F23" s="39"/>
      <c r="G23" s="112" t="s">
        <v>378</v>
      </c>
      <c r="H23" s="82"/>
      <c r="I23" s="44" t="s">
        <v>26</v>
      </c>
      <c r="J23" s="10"/>
      <c r="K23" s="112" t="s">
        <v>493</v>
      </c>
      <c r="L23" s="82"/>
      <c r="M23" s="44"/>
      <c r="N23" s="10"/>
      <c r="O23" s="11"/>
      <c r="P23" s="82"/>
      <c r="Q23" s="100" t="str">
        <f>IF(OR(ISBLANK(I23),I23="4"),'Bewertung - Assessment'!R23,Titel!H$67)</f>
        <v>-</v>
      </c>
      <c r="R23" s="100" t="s">
        <v>43</v>
      </c>
    </row>
    <row r="24" spans="1:18" x14ac:dyDescent="0.25">
      <c r="A24" s="110" t="s">
        <v>61</v>
      </c>
      <c r="B24" s="56" t="s">
        <v>30</v>
      </c>
      <c r="C24" s="90" t="s">
        <v>101</v>
      </c>
      <c r="D24" s="90" t="s">
        <v>102</v>
      </c>
      <c r="E24" s="57"/>
      <c r="F24" s="35"/>
      <c r="G24" s="35"/>
      <c r="H24" s="35"/>
      <c r="I24" s="57"/>
      <c r="J24" s="106"/>
      <c r="K24" s="35"/>
      <c r="L24" s="35"/>
      <c r="M24" s="57"/>
      <c r="N24" s="106"/>
      <c r="O24" s="35"/>
      <c r="P24" s="35"/>
      <c r="Q24" s="106"/>
      <c r="R24" s="106"/>
    </row>
    <row r="25" spans="1:18" ht="60" x14ac:dyDescent="0.25">
      <c r="A25" s="110" t="s">
        <v>61</v>
      </c>
      <c r="B25" s="50" t="s">
        <v>103</v>
      </c>
      <c r="C25" s="41" t="s">
        <v>104</v>
      </c>
      <c r="D25" s="91" t="s">
        <v>105</v>
      </c>
      <c r="E25" s="44" t="s">
        <v>24</v>
      </c>
      <c r="F25" s="39" t="s">
        <v>382</v>
      </c>
      <c r="G25" s="39"/>
      <c r="H25" s="82"/>
      <c r="I25" s="44" t="s">
        <v>24</v>
      </c>
      <c r="J25" s="39" t="s">
        <v>437</v>
      </c>
      <c r="K25" s="39"/>
      <c r="L25" s="82"/>
      <c r="M25" s="44"/>
      <c r="N25" s="10"/>
      <c r="O25" s="11"/>
      <c r="P25" s="82"/>
      <c r="Q25" s="100" t="str">
        <f>IF(OR(ISBLANK(I25),I25="4"),'Bewertung - Assessment'!R25,Titel!H$67)</f>
        <v>-</v>
      </c>
      <c r="R25" s="100" t="s">
        <v>44</v>
      </c>
    </row>
    <row r="26" spans="1:18" ht="60" x14ac:dyDescent="0.25">
      <c r="A26" s="110" t="s">
        <v>61</v>
      </c>
      <c r="B26" s="50" t="s">
        <v>106</v>
      </c>
      <c r="C26" s="41" t="s">
        <v>107</v>
      </c>
      <c r="D26" s="91" t="s">
        <v>108</v>
      </c>
      <c r="E26" s="44" t="s">
        <v>28</v>
      </c>
      <c r="F26" s="39" t="s">
        <v>379</v>
      </c>
      <c r="G26" s="39" t="s">
        <v>380</v>
      </c>
      <c r="H26" s="82"/>
      <c r="I26" s="44" t="s">
        <v>28</v>
      </c>
      <c r="J26" s="39" t="s">
        <v>438</v>
      </c>
      <c r="K26" s="112" t="s">
        <v>461</v>
      </c>
      <c r="L26" s="82"/>
      <c r="M26" s="44"/>
      <c r="N26" s="10"/>
      <c r="O26" s="11"/>
      <c r="P26" s="82"/>
      <c r="Q26" s="100" t="str">
        <f>IF(OR(ISBLANK(I26),I26="4"),'Bewertung - Assessment'!R26,Titel!H$67)</f>
        <v>-</v>
      </c>
      <c r="R26" s="100" t="s">
        <v>44</v>
      </c>
    </row>
    <row r="27" spans="1:18" x14ac:dyDescent="0.25">
      <c r="A27" s="110" t="s">
        <v>61</v>
      </c>
      <c r="B27" s="50" t="s">
        <v>109</v>
      </c>
      <c r="C27" s="41" t="s">
        <v>110</v>
      </c>
      <c r="D27" s="91" t="s">
        <v>111</v>
      </c>
      <c r="E27" s="44" t="s">
        <v>30</v>
      </c>
      <c r="F27" s="39"/>
      <c r="G27" s="39" t="s">
        <v>354</v>
      </c>
      <c r="H27" s="82"/>
      <c r="I27" s="44" t="s">
        <v>30</v>
      </c>
      <c r="J27" s="10"/>
      <c r="K27" s="112" t="s">
        <v>461</v>
      </c>
      <c r="L27" s="82"/>
      <c r="M27" s="44"/>
      <c r="N27" s="10"/>
      <c r="O27" s="11"/>
      <c r="P27" s="82"/>
      <c r="Q27" s="100" t="str">
        <f>IF(OR(ISBLANK(I27),I27="4"),'Bewertung - Assessment'!R27,Titel!H$67)</f>
        <v>D3</v>
      </c>
      <c r="R27" s="100" t="s">
        <v>45</v>
      </c>
    </row>
    <row r="28" spans="1:18" x14ac:dyDescent="0.25">
      <c r="A28" s="110" t="s">
        <v>61</v>
      </c>
      <c r="B28" s="50" t="s">
        <v>112</v>
      </c>
      <c r="C28" s="41" t="s">
        <v>113</v>
      </c>
      <c r="D28" s="91" t="s">
        <v>114</v>
      </c>
      <c r="E28" s="44" t="s">
        <v>30</v>
      </c>
      <c r="F28" s="39"/>
      <c r="G28" s="39" t="s">
        <v>354</v>
      </c>
      <c r="H28" s="82"/>
      <c r="I28" s="44" t="s">
        <v>30</v>
      </c>
      <c r="J28" s="10"/>
      <c r="K28" s="112" t="s">
        <v>461</v>
      </c>
      <c r="L28" s="82"/>
      <c r="M28" s="44"/>
      <c r="N28" s="10"/>
      <c r="O28" s="11"/>
      <c r="P28" s="82"/>
      <c r="Q28" s="100" t="str">
        <f>IF(OR(ISBLANK(I28),I28="4"),'Bewertung - Assessment'!R28,Titel!H$67)</f>
        <v>D3</v>
      </c>
      <c r="R28" s="100" t="s">
        <v>45</v>
      </c>
    </row>
    <row r="29" spans="1:18" ht="30" x14ac:dyDescent="0.25">
      <c r="A29" s="110" t="s">
        <v>61</v>
      </c>
      <c r="B29" s="50" t="s">
        <v>115</v>
      </c>
      <c r="C29" s="41" t="s">
        <v>116</v>
      </c>
      <c r="D29" s="91" t="s">
        <v>117</v>
      </c>
      <c r="E29" s="44" t="s">
        <v>28</v>
      </c>
      <c r="F29" s="39" t="s">
        <v>375</v>
      </c>
      <c r="G29" s="112" t="s">
        <v>383</v>
      </c>
      <c r="H29" s="82"/>
      <c r="I29" s="44" t="s">
        <v>28</v>
      </c>
      <c r="J29" s="39" t="s">
        <v>439</v>
      </c>
      <c r="K29" s="112" t="s">
        <v>461</v>
      </c>
      <c r="L29" s="82"/>
      <c r="M29" s="44"/>
      <c r="N29" s="10"/>
      <c r="O29" s="11"/>
      <c r="P29" s="82"/>
      <c r="Q29" s="100" t="str">
        <f>IF(OR(ISBLANK(I29),I29="4"),'Bewertung - Assessment'!R29,Titel!H$67)</f>
        <v>-</v>
      </c>
      <c r="R29" s="100" t="s">
        <v>46</v>
      </c>
    </row>
    <row r="30" spans="1:18" ht="30" x14ac:dyDescent="0.25">
      <c r="A30" s="110" t="s">
        <v>61</v>
      </c>
      <c r="B30" s="50" t="s">
        <v>118</v>
      </c>
      <c r="C30" s="41" t="s">
        <v>119</v>
      </c>
      <c r="D30" s="91" t="s">
        <v>120</v>
      </c>
      <c r="E30" s="44" t="s">
        <v>24</v>
      </c>
      <c r="F30" s="39" t="s">
        <v>374</v>
      </c>
      <c r="G30" s="39"/>
      <c r="H30" s="82"/>
      <c r="I30" s="44" t="s">
        <v>24</v>
      </c>
      <c r="J30" s="39" t="s">
        <v>435</v>
      </c>
      <c r="K30" s="39"/>
      <c r="L30" s="82"/>
      <c r="M30" s="44"/>
      <c r="N30" s="10"/>
      <c r="O30" s="11"/>
      <c r="P30" s="82"/>
      <c r="Q30" s="100" t="str">
        <f>IF(OR(ISBLANK(I30),I30="4"),'Bewertung - Assessment'!R30,Titel!H$67)</f>
        <v>-</v>
      </c>
      <c r="R30" s="100" t="s">
        <v>46</v>
      </c>
    </row>
    <row r="31" spans="1:18" ht="90" x14ac:dyDescent="0.25">
      <c r="A31" s="110" t="s">
        <v>61</v>
      </c>
      <c r="B31" s="50" t="s">
        <v>121</v>
      </c>
      <c r="C31" s="41" t="s">
        <v>122</v>
      </c>
      <c r="D31" s="91" t="s">
        <v>123</v>
      </c>
      <c r="E31" s="44" t="s">
        <v>26</v>
      </c>
      <c r="F31" s="39" t="s">
        <v>384</v>
      </c>
      <c r="G31" s="112" t="s">
        <v>407</v>
      </c>
      <c r="H31" s="82"/>
      <c r="I31" s="44" t="s">
        <v>26</v>
      </c>
      <c r="J31" s="39" t="s">
        <v>440</v>
      </c>
      <c r="K31" s="39" t="s">
        <v>461</v>
      </c>
      <c r="L31" s="82"/>
      <c r="M31" s="44"/>
      <c r="N31" s="10"/>
      <c r="O31" s="11"/>
      <c r="P31" s="82"/>
      <c r="Q31" s="100" t="str">
        <f>IF(OR(ISBLANK(I31),I31="4"),'Bewertung - Assessment'!R31,Titel!H$67)</f>
        <v>-</v>
      </c>
      <c r="R31" s="100" t="s">
        <v>45</v>
      </c>
    </row>
    <row r="32" spans="1:18" ht="75" x14ac:dyDescent="0.25">
      <c r="A32" s="110" t="s">
        <v>61</v>
      </c>
      <c r="B32" s="50" t="s">
        <v>124</v>
      </c>
      <c r="C32" s="41" t="s">
        <v>125</v>
      </c>
      <c r="D32" s="91" t="s">
        <v>126</v>
      </c>
      <c r="E32" s="44" t="s">
        <v>24</v>
      </c>
      <c r="F32" s="39" t="s">
        <v>371</v>
      </c>
      <c r="G32" s="112" t="s">
        <v>365</v>
      </c>
      <c r="H32" s="82"/>
      <c r="I32" s="44" t="s">
        <v>24</v>
      </c>
      <c r="J32" s="39" t="s">
        <v>441</v>
      </c>
      <c r="K32" s="112" t="s">
        <v>365</v>
      </c>
      <c r="L32" s="82"/>
      <c r="M32" s="44"/>
      <c r="N32" s="10"/>
      <c r="O32" s="11"/>
      <c r="P32" s="82"/>
      <c r="Q32" s="100" t="str">
        <f>IF(OR(ISBLANK(I32),I32="4"),'Bewertung - Assessment'!R32,Titel!H$67)</f>
        <v>-</v>
      </c>
      <c r="R32" s="100" t="s">
        <v>45</v>
      </c>
    </row>
    <row r="33" spans="1:18" x14ac:dyDescent="0.25">
      <c r="A33" s="110" t="s">
        <v>61</v>
      </c>
      <c r="B33" s="50" t="s">
        <v>127</v>
      </c>
      <c r="C33" s="41" t="s">
        <v>128</v>
      </c>
      <c r="D33" s="91" t="s">
        <v>129</v>
      </c>
      <c r="E33" s="44" t="s">
        <v>22</v>
      </c>
      <c r="F33" s="39"/>
      <c r="G33" s="39" t="s">
        <v>385</v>
      </c>
      <c r="H33" s="82"/>
      <c r="I33" s="44" t="s">
        <v>22</v>
      </c>
      <c r="J33" s="39"/>
      <c r="K33" s="39" t="s">
        <v>385</v>
      </c>
      <c r="L33" s="82"/>
      <c r="M33" s="44"/>
      <c r="N33" s="10"/>
      <c r="O33" s="11"/>
      <c r="P33" s="82"/>
      <c r="Q33" s="100" t="str">
        <f>IF(OR(ISBLANK(I33),I33="4"),'Bewertung - Assessment'!R33,Titel!H$67)</f>
        <v>-</v>
      </c>
      <c r="R33" s="100" t="s">
        <v>44</v>
      </c>
    </row>
    <row r="34" spans="1:18" ht="30" x14ac:dyDescent="0.25">
      <c r="A34" s="110" t="s">
        <v>61</v>
      </c>
      <c r="B34" s="50" t="s">
        <v>130</v>
      </c>
      <c r="C34" s="41" t="s">
        <v>131</v>
      </c>
      <c r="D34" s="91" t="s">
        <v>132</v>
      </c>
      <c r="E34" s="44" t="s">
        <v>24</v>
      </c>
      <c r="F34" s="39" t="s">
        <v>372</v>
      </c>
      <c r="G34" s="39"/>
      <c r="H34" s="82"/>
      <c r="I34" s="44" t="s">
        <v>24</v>
      </c>
      <c r="J34" s="39" t="s">
        <v>442</v>
      </c>
      <c r="K34" s="39"/>
      <c r="L34" s="82"/>
      <c r="M34" s="44"/>
      <c r="N34" s="10"/>
      <c r="O34" s="11"/>
      <c r="P34" s="82"/>
      <c r="Q34" s="100" t="str">
        <f>IF(OR(ISBLANK(I34),I34="4"),'Bewertung - Assessment'!R34,Titel!H$67)</f>
        <v>-</v>
      </c>
      <c r="R34" s="100" t="s">
        <v>44</v>
      </c>
    </row>
    <row r="35" spans="1:18" ht="60" x14ac:dyDescent="0.25">
      <c r="A35" s="110" t="s">
        <v>61</v>
      </c>
      <c r="B35" s="50" t="s">
        <v>133</v>
      </c>
      <c r="C35" s="41" t="s">
        <v>134</v>
      </c>
      <c r="D35" s="91" t="s">
        <v>135</v>
      </c>
      <c r="E35" s="44" t="s">
        <v>24</v>
      </c>
      <c r="F35" s="39" t="s">
        <v>395</v>
      </c>
      <c r="G35" s="39"/>
      <c r="H35" s="82"/>
      <c r="I35" s="44" t="s">
        <v>24</v>
      </c>
      <c r="J35" s="39" t="s">
        <v>443</v>
      </c>
      <c r="K35" s="39"/>
      <c r="L35" s="82"/>
      <c r="M35" s="44"/>
      <c r="N35" s="10"/>
      <c r="O35" s="11"/>
      <c r="P35" s="82"/>
      <c r="Q35" s="100" t="str">
        <f>IF(OR(ISBLANK(I35),I35="4"),'Bewertung - Assessment'!R35,Titel!H$67)</f>
        <v>-</v>
      </c>
      <c r="R35" s="100" t="s">
        <v>44</v>
      </c>
    </row>
    <row r="36" spans="1:18" ht="45" x14ac:dyDescent="0.25">
      <c r="A36" s="110" t="s">
        <v>61</v>
      </c>
      <c r="B36" s="50" t="s">
        <v>136</v>
      </c>
      <c r="C36" s="41" t="s">
        <v>137</v>
      </c>
      <c r="D36" s="91" t="s">
        <v>138</v>
      </c>
      <c r="E36" s="44" t="s">
        <v>24</v>
      </c>
      <c r="F36" s="39" t="s">
        <v>389</v>
      </c>
      <c r="G36" s="39" t="s">
        <v>386</v>
      </c>
      <c r="H36" s="82"/>
      <c r="I36" s="44" t="s">
        <v>24</v>
      </c>
      <c r="J36" s="39" t="s">
        <v>444</v>
      </c>
      <c r="K36" s="39" t="s">
        <v>386</v>
      </c>
      <c r="L36" s="82"/>
      <c r="M36" s="44"/>
      <c r="N36" s="10"/>
      <c r="O36" s="11"/>
      <c r="P36" s="82"/>
      <c r="Q36" s="100" t="str">
        <f>IF(OR(ISBLANK(I36),I36="4"),'Bewertung - Assessment'!R36,Titel!H$67)</f>
        <v>-</v>
      </c>
      <c r="R36" s="100" t="s">
        <v>44</v>
      </c>
    </row>
    <row r="37" spans="1:18" ht="90" x14ac:dyDescent="0.25">
      <c r="A37" s="110" t="s">
        <v>61</v>
      </c>
      <c r="B37" s="50" t="s">
        <v>139</v>
      </c>
      <c r="C37" s="41" t="s">
        <v>140</v>
      </c>
      <c r="D37" s="91" t="s">
        <v>141</v>
      </c>
      <c r="E37" s="44" t="s">
        <v>26</v>
      </c>
      <c r="F37" s="39" t="s">
        <v>373</v>
      </c>
      <c r="G37" s="112" t="s">
        <v>408</v>
      </c>
      <c r="H37" s="82"/>
      <c r="I37" s="44" t="s">
        <v>26</v>
      </c>
      <c r="J37" s="39" t="s">
        <v>445</v>
      </c>
      <c r="K37" s="39" t="s">
        <v>461</v>
      </c>
      <c r="L37" s="82"/>
      <c r="M37" s="44"/>
      <c r="N37" s="10"/>
      <c r="O37" s="11"/>
      <c r="P37" s="82"/>
      <c r="Q37" s="100" t="str">
        <f>IF(OR(ISBLANK(I37),I37="4"),'Bewertung - Assessment'!R37,Titel!H$67)</f>
        <v>-</v>
      </c>
      <c r="R37" s="100" t="s">
        <v>45</v>
      </c>
    </row>
    <row r="38" spans="1:18" x14ac:dyDescent="0.25">
      <c r="A38" s="110" t="s">
        <v>61</v>
      </c>
      <c r="B38" s="56" t="s">
        <v>142</v>
      </c>
      <c r="C38" s="90" t="s">
        <v>143</v>
      </c>
      <c r="D38" s="90" t="s">
        <v>144</v>
      </c>
      <c r="E38" s="57"/>
      <c r="F38" s="35"/>
      <c r="G38" s="35"/>
      <c r="H38" s="35"/>
      <c r="I38" s="57"/>
      <c r="J38" s="106"/>
      <c r="K38" s="35"/>
      <c r="L38" s="35"/>
      <c r="M38" s="57"/>
      <c r="N38" s="106"/>
      <c r="O38" s="35"/>
      <c r="P38" s="35"/>
      <c r="Q38" s="106"/>
      <c r="R38" s="106"/>
    </row>
    <row r="39" spans="1:18" ht="60" x14ac:dyDescent="0.25">
      <c r="A39" s="110" t="s">
        <v>61</v>
      </c>
      <c r="B39" s="50" t="s">
        <v>68</v>
      </c>
      <c r="C39" s="41" t="s">
        <v>145</v>
      </c>
      <c r="D39" s="91" t="s">
        <v>146</v>
      </c>
      <c r="E39" s="44" t="s">
        <v>26</v>
      </c>
      <c r="F39" s="39" t="s">
        <v>381</v>
      </c>
      <c r="G39" s="112" t="s">
        <v>412</v>
      </c>
      <c r="H39" s="82"/>
      <c r="I39" s="44" t="s">
        <v>26</v>
      </c>
      <c r="J39" s="39" t="s">
        <v>446</v>
      </c>
      <c r="K39" s="112" t="s">
        <v>462</v>
      </c>
      <c r="L39" s="82"/>
      <c r="M39" s="44"/>
      <c r="N39" s="10"/>
      <c r="O39" s="11"/>
      <c r="P39" s="82"/>
      <c r="Q39" s="100" t="str">
        <f>IF(OR(ISBLANK(I39),I39="4"),'Bewertung - Assessment'!R39,Titel!H$67)</f>
        <v>-</v>
      </c>
      <c r="R39" s="100" t="s">
        <v>45</v>
      </c>
    </row>
    <row r="40" spans="1:18" x14ac:dyDescent="0.25">
      <c r="A40" s="110" t="s">
        <v>61</v>
      </c>
      <c r="B40" s="50" t="s">
        <v>147</v>
      </c>
      <c r="C40" s="41" t="s">
        <v>148</v>
      </c>
      <c r="D40" s="91" t="s">
        <v>149</v>
      </c>
      <c r="E40" s="44" t="s">
        <v>30</v>
      </c>
      <c r="F40" s="39"/>
      <c r="G40" s="39" t="s">
        <v>354</v>
      </c>
      <c r="H40" s="82"/>
      <c r="I40" s="44" t="s">
        <v>30</v>
      </c>
      <c r="J40" s="39"/>
      <c r="K40" s="39" t="s">
        <v>461</v>
      </c>
      <c r="L40" s="82"/>
      <c r="M40" s="44"/>
      <c r="N40" s="10"/>
      <c r="O40" s="11"/>
      <c r="P40" s="82"/>
      <c r="Q40" s="100" t="str">
        <f>IF(OR(ISBLANK(I40),I40="4"),'Bewertung - Assessment'!R40,Titel!H$67)</f>
        <v>D2</v>
      </c>
      <c r="R40" s="100" t="s">
        <v>44</v>
      </c>
    </row>
    <row r="41" spans="1:18" ht="30" x14ac:dyDescent="0.25">
      <c r="A41" s="110" t="s">
        <v>61</v>
      </c>
      <c r="B41" s="50" t="s">
        <v>150</v>
      </c>
      <c r="C41" s="41" t="s">
        <v>151</v>
      </c>
      <c r="D41" s="91" t="s">
        <v>152</v>
      </c>
      <c r="E41" s="44" t="s">
        <v>26</v>
      </c>
      <c r="F41" s="39" t="s">
        <v>387</v>
      </c>
      <c r="G41" s="39" t="s">
        <v>388</v>
      </c>
      <c r="H41" s="82"/>
      <c r="I41" s="44" t="s">
        <v>26</v>
      </c>
      <c r="J41" s="39" t="s">
        <v>447</v>
      </c>
      <c r="K41" s="39" t="s">
        <v>461</v>
      </c>
      <c r="L41" s="82"/>
      <c r="M41" s="44"/>
      <c r="N41" s="10"/>
      <c r="O41" s="11"/>
      <c r="P41" s="82"/>
      <c r="Q41" s="100" t="str">
        <f>IF(OR(ISBLANK(I41),I41="4"),'Bewertung - Assessment'!R41,Titel!H$67)</f>
        <v>-</v>
      </c>
      <c r="R41" s="100" t="s">
        <v>45</v>
      </c>
    </row>
    <row r="42" spans="1:18" ht="45" x14ac:dyDescent="0.25">
      <c r="A42" s="110" t="s">
        <v>61</v>
      </c>
      <c r="B42" s="50" t="s">
        <v>153</v>
      </c>
      <c r="C42" s="41" t="s">
        <v>154</v>
      </c>
      <c r="D42" s="91" t="s">
        <v>155</v>
      </c>
      <c r="E42" s="44" t="s">
        <v>30</v>
      </c>
      <c r="F42" s="39"/>
      <c r="G42" s="39" t="s">
        <v>354</v>
      </c>
      <c r="H42" s="82"/>
      <c r="I42" s="44" t="s">
        <v>30</v>
      </c>
      <c r="J42" s="39"/>
      <c r="K42" s="39" t="s">
        <v>463</v>
      </c>
      <c r="L42" s="82"/>
      <c r="M42" s="44"/>
      <c r="N42" s="10"/>
      <c r="O42" s="11"/>
      <c r="P42" s="82"/>
      <c r="Q42" s="100" t="str">
        <f>IF(OR(ISBLANK(I42),I42="4"),'Bewertung - Assessment'!R42,Titel!H$67)</f>
        <v>D4</v>
      </c>
      <c r="R42" s="100" t="s">
        <v>46</v>
      </c>
    </row>
    <row r="43" spans="1:18" x14ac:dyDescent="0.25">
      <c r="A43" s="110" t="s">
        <v>61</v>
      </c>
      <c r="B43" s="50" t="s">
        <v>156</v>
      </c>
      <c r="C43" s="41" t="s">
        <v>157</v>
      </c>
      <c r="D43" s="91" t="s">
        <v>158</v>
      </c>
      <c r="E43" s="44" t="s">
        <v>30</v>
      </c>
      <c r="F43" s="39"/>
      <c r="G43" s="39" t="s">
        <v>354</v>
      </c>
      <c r="H43" s="82"/>
      <c r="I43" s="44" t="s">
        <v>22</v>
      </c>
      <c r="J43" s="39"/>
      <c r="K43" s="112" t="s">
        <v>490</v>
      </c>
      <c r="L43" s="82"/>
      <c r="M43" s="44"/>
      <c r="N43" s="10"/>
      <c r="O43" s="11"/>
      <c r="P43" s="82"/>
      <c r="Q43" s="100" t="str">
        <f>IF(OR(ISBLANK(I43),I43="4"),'Bewertung - Assessment'!R43,Titel!H$67)</f>
        <v>-</v>
      </c>
      <c r="R43" s="100" t="s">
        <v>44</v>
      </c>
    </row>
    <row r="44" spans="1:18" ht="105" x14ac:dyDescent="0.25">
      <c r="A44" s="110" t="s">
        <v>61</v>
      </c>
      <c r="B44" s="50" t="s">
        <v>159</v>
      </c>
      <c r="C44" s="41" t="s">
        <v>160</v>
      </c>
      <c r="D44" s="91" t="s">
        <v>161</v>
      </c>
      <c r="E44" s="44" t="s">
        <v>28</v>
      </c>
      <c r="F44" s="39" t="s">
        <v>394</v>
      </c>
      <c r="G44" s="39" t="s">
        <v>409</v>
      </c>
      <c r="H44" s="82"/>
      <c r="I44" s="44" t="s">
        <v>28</v>
      </c>
      <c r="J44" s="39" t="s">
        <v>448</v>
      </c>
      <c r="K44" s="39" t="s">
        <v>464</v>
      </c>
      <c r="L44" s="82"/>
      <c r="M44" s="44"/>
      <c r="N44" s="10"/>
      <c r="O44" s="11"/>
      <c r="P44" s="82"/>
      <c r="Q44" s="100" t="str">
        <f>IF(OR(ISBLANK(I44),I44="4"),'Bewertung - Assessment'!R44,Titel!H$67)</f>
        <v>-</v>
      </c>
      <c r="R44" s="100" t="s">
        <v>43</v>
      </c>
    </row>
    <row r="45" spans="1:18" ht="45" x14ac:dyDescent="0.25">
      <c r="A45" s="110" t="s">
        <v>61</v>
      </c>
      <c r="B45" s="50" t="s">
        <v>162</v>
      </c>
      <c r="C45" s="41" t="s">
        <v>163</v>
      </c>
      <c r="D45" s="91" t="s">
        <v>164</v>
      </c>
      <c r="E45" s="44" t="s">
        <v>24</v>
      </c>
      <c r="F45" s="39" t="s">
        <v>390</v>
      </c>
      <c r="G45" s="39"/>
      <c r="H45" s="82"/>
      <c r="I45" s="44" t="s">
        <v>24</v>
      </c>
      <c r="J45" s="39" t="s">
        <v>449</v>
      </c>
      <c r="K45" s="39"/>
      <c r="L45" s="82"/>
      <c r="M45" s="44"/>
      <c r="N45" s="10"/>
      <c r="O45" s="11"/>
      <c r="P45" s="82"/>
      <c r="Q45" s="100" t="str">
        <f>IF(OR(ISBLANK(I45),I45="4"),'Bewertung - Assessment'!R45,Titel!H$67)</f>
        <v>-</v>
      </c>
      <c r="R45" s="100" t="s">
        <v>44</v>
      </c>
    </row>
    <row r="46" spans="1:18" ht="60" x14ac:dyDescent="0.25">
      <c r="A46" s="110" t="s">
        <v>61</v>
      </c>
      <c r="B46" s="50" t="s">
        <v>165</v>
      </c>
      <c r="C46" s="41" t="s">
        <v>166</v>
      </c>
      <c r="D46" s="91" t="s">
        <v>167</v>
      </c>
      <c r="E46" s="44" t="s">
        <v>28</v>
      </c>
      <c r="F46" s="39" t="s">
        <v>391</v>
      </c>
      <c r="G46" s="112" t="s">
        <v>392</v>
      </c>
      <c r="H46" s="82"/>
      <c r="I46" s="44" t="s">
        <v>28</v>
      </c>
      <c r="J46" s="39" t="s">
        <v>450</v>
      </c>
      <c r="K46" s="39" t="s">
        <v>464</v>
      </c>
      <c r="L46" s="82"/>
      <c r="M46" s="44"/>
      <c r="N46" s="10"/>
      <c r="O46" s="11"/>
      <c r="P46" s="82"/>
      <c r="Q46" s="100" t="str">
        <f>IF(OR(ISBLANK(I46),I46="4"),'Bewertung - Assessment'!R46,Titel!H$67)</f>
        <v>-</v>
      </c>
      <c r="R46" s="100" t="s">
        <v>44</v>
      </c>
    </row>
    <row r="47" spans="1:18" x14ac:dyDescent="0.25">
      <c r="A47" s="110" t="s">
        <v>61</v>
      </c>
      <c r="B47" s="56" t="s">
        <v>168</v>
      </c>
      <c r="C47" s="90" t="s">
        <v>169</v>
      </c>
      <c r="D47" s="90" t="s">
        <v>170</v>
      </c>
      <c r="E47" s="57"/>
      <c r="F47" s="35"/>
      <c r="G47" s="35"/>
      <c r="H47" s="35"/>
      <c r="I47" s="57"/>
      <c r="J47" s="106"/>
      <c r="K47" s="35"/>
      <c r="L47" s="35"/>
      <c r="M47" s="57"/>
      <c r="N47" s="106"/>
      <c r="O47" s="35"/>
      <c r="P47" s="35"/>
      <c r="Q47" s="106"/>
      <c r="R47" s="106"/>
    </row>
    <row r="48" spans="1:18" ht="45" x14ac:dyDescent="0.25">
      <c r="A48" s="110" t="s">
        <v>61</v>
      </c>
      <c r="B48" s="50" t="s">
        <v>171</v>
      </c>
      <c r="C48" s="41" t="s">
        <v>172</v>
      </c>
      <c r="D48" s="91" t="s">
        <v>173</v>
      </c>
      <c r="E48" s="44" t="s">
        <v>24</v>
      </c>
      <c r="F48" s="41" t="s">
        <v>361</v>
      </c>
      <c r="G48" s="41"/>
      <c r="H48" s="35"/>
      <c r="I48" s="44" t="s">
        <v>24</v>
      </c>
      <c r="J48" s="41" t="s">
        <v>451</v>
      </c>
      <c r="K48" s="41"/>
      <c r="L48" s="35"/>
      <c r="M48" s="44"/>
      <c r="N48" s="10"/>
      <c r="O48" s="14"/>
      <c r="P48" s="35"/>
      <c r="Q48" s="100" t="str">
        <f>IF(OR(ISBLANK(I48),I48="4"),'Bewertung - Assessment'!R48,Titel!H$67)</f>
        <v>-</v>
      </c>
      <c r="R48" s="100" t="s">
        <v>44</v>
      </c>
    </row>
    <row r="49" spans="1:18" ht="165" x14ac:dyDescent="0.25">
      <c r="A49" s="110" t="s">
        <v>61</v>
      </c>
      <c r="B49" s="50" t="s">
        <v>174</v>
      </c>
      <c r="C49" s="41" t="s">
        <v>175</v>
      </c>
      <c r="D49" s="91" t="s">
        <v>176</v>
      </c>
      <c r="E49" s="44" t="s">
        <v>26</v>
      </c>
      <c r="F49" s="37" t="s">
        <v>363</v>
      </c>
      <c r="G49" s="37" t="s">
        <v>410</v>
      </c>
      <c r="H49" s="35"/>
      <c r="I49" s="44" t="s">
        <v>26</v>
      </c>
      <c r="J49" s="37" t="s">
        <v>452</v>
      </c>
      <c r="K49" s="39" t="s">
        <v>464</v>
      </c>
      <c r="L49" s="35"/>
      <c r="M49" s="44"/>
      <c r="N49" s="10"/>
      <c r="O49" s="14"/>
      <c r="P49" s="35"/>
      <c r="Q49" s="100" t="str">
        <f>IF(OR(ISBLANK(I49),I49="4"),'Bewertung - Assessment'!R49,Titel!H$67)</f>
        <v>-</v>
      </c>
      <c r="R49" s="100" t="s">
        <v>45</v>
      </c>
    </row>
    <row r="50" spans="1:18" x14ac:dyDescent="0.25">
      <c r="A50" s="110" t="s">
        <v>61</v>
      </c>
      <c r="B50" s="50" t="s">
        <v>177</v>
      </c>
      <c r="C50" s="41" t="s">
        <v>178</v>
      </c>
      <c r="D50" s="91" t="s">
        <v>179</v>
      </c>
      <c r="E50" s="44" t="s">
        <v>30</v>
      </c>
      <c r="F50" s="41"/>
      <c r="G50" s="41" t="s">
        <v>354</v>
      </c>
      <c r="H50" s="35"/>
      <c r="I50" s="44" t="s">
        <v>30</v>
      </c>
      <c r="J50" s="10"/>
      <c r="K50" s="39" t="s">
        <v>464</v>
      </c>
      <c r="L50" s="35"/>
      <c r="M50" s="44"/>
      <c r="N50" s="10"/>
      <c r="O50" s="14"/>
      <c r="P50" s="35"/>
      <c r="Q50" s="100" t="str">
        <f>IF(OR(ISBLANK(I50),I50="4"),'Bewertung - Assessment'!R50,Titel!H$67)</f>
        <v>D1</v>
      </c>
      <c r="R50" s="100" t="s">
        <v>43</v>
      </c>
    </row>
    <row r="51" spans="1:18" ht="60" x14ac:dyDescent="0.25">
      <c r="A51" s="110" t="s">
        <v>61</v>
      </c>
      <c r="B51" s="50" t="s">
        <v>180</v>
      </c>
      <c r="C51" s="41" t="s">
        <v>181</v>
      </c>
      <c r="D51" s="91" t="s">
        <v>182</v>
      </c>
      <c r="E51" s="44" t="s">
        <v>24</v>
      </c>
      <c r="F51" s="41" t="s">
        <v>366</v>
      </c>
      <c r="G51" s="37"/>
      <c r="H51" s="35"/>
      <c r="I51" s="44" t="s">
        <v>24</v>
      </c>
      <c r="J51" s="41" t="s">
        <v>453</v>
      </c>
      <c r="K51" s="37"/>
      <c r="L51" s="35"/>
      <c r="M51" s="44"/>
      <c r="N51" s="10"/>
      <c r="O51" s="14"/>
      <c r="P51" s="35"/>
      <c r="Q51" s="100" t="str">
        <f>IF(OR(ISBLANK(I51),I51="4"),'Bewertung - Assessment'!R51,Titel!H$67)</f>
        <v>-</v>
      </c>
      <c r="R51" s="100" t="s">
        <v>45</v>
      </c>
    </row>
    <row r="52" spans="1:18" ht="75" x14ac:dyDescent="0.25">
      <c r="A52" s="110" t="s">
        <v>61</v>
      </c>
      <c r="B52" s="50" t="s">
        <v>183</v>
      </c>
      <c r="C52" s="41" t="s">
        <v>184</v>
      </c>
      <c r="D52" s="91" t="s">
        <v>185</v>
      </c>
      <c r="E52" s="44" t="s">
        <v>24</v>
      </c>
      <c r="F52" s="41" t="s">
        <v>393</v>
      </c>
      <c r="G52" s="41"/>
      <c r="H52" s="35"/>
      <c r="I52" s="44" t="s">
        <v>24</v>
      </c>
      <c r="J52" s="41" t="s">
        <v>454</v>
      </c>
      <c r="K52" s="41"/>
      <c r="L52" s="35"/>
      <c r="M52" s="44"/>
      <c r="N52" s="10"/>
      <c r="O52" s="14"/>
      <c r="P52" s="35"/>
      <c r="Q52" s="100" t="str">
        <f>IF(OR(ISBLANK(I52),I52="4"),'Bewertung - Assessment'!R52,Titel!H$67)</f>
        <v>-</v>
      </c>
      <c r="R52" s="100" t="s">
        <v>46</v>
      </c>
    </row>
    <row r="53" spans="1:18" x14ac:dyDescent="0.25">
      <c r="A53" s="110" t="s">
        <v>61</v>
      </c>
      <c r="B53" s="56" t="s">
        <v>186</v>
      </c>
      <c r="C53" s="90" t="s">
        <v>187</v>
      </c>
      <c r="D53" s="90" t="s">
        <v>188</v>
      </c>
      <c r="E53" s="57"/>
      <c r="F53" s="35"/>
      <c r="G53" s="35"/>
      <c r="H53" s="35"/>
      <c r="I53" s="57"/>
      <c r="J53" s="106"/>
      <c r="K53" s="35"/>
      <c r="L53" s="35"/>
      <c r="M53" s="57"/>
      <c r="N53" s="106"/>
      <c r="O53" s="35"/>
      <c r="P53" s="35"/>
      <c r="Q53" s="106"/>
      <c r="R53" s="106"/>
    </row>
    <row r="54" spans="1:18" x14ac:dyDescent="0.25">
      <c r="A54" s="110" t="s">
        <v>61</v>
      </c>
      <c r="B54" s="52" t="s">
        <v>189</v>
      </c>
      <c r="C54" s="40" t="s">
        <v>190</v>
      </c>
      <c r="D54" s="93" t="s">
        <v>190</v>
      </c>
      <c r="E54" s="40"/>
      <c r="F54" s="40"/>
      <c r="G54" s="40"/>
      <c r="H54" s="35"/>
      <c r="I54" s="45"/>
      <c r="J54" s="12"/>
      <c r="K54" s="40"/>
      <c r="L54" s="35"/>
      <c r="M54" s="45"/>
      <c r="N54" s="12"/>
      <c r="O54" s="13"/>
      <c r="P54" s="35"/>
      <c r="Q54" s="101"/>
      <c r="R54" s="5"/>
    </row>
    <row r="55" spans="1:18" ht="30" x14ac:dyDescent="0.25">
      <c r="A55" s="110" t="s">
        <v>61</v>
      </c>
      <c r="B55" s="50" t="s">
        <v>189</v>
      </c>
      <c r="C55" s="37" t="s">
        <v>191</v>
      </c>
      <c r="D55" s="88" t="s">
        <v>192</v>
      </c>
      <c r="E55" s="44" t="s">
        <v>30</v>
      </c>
      <c r="F55" s="41"/>
      <c r="G55" s="41"/>
      <c r="H55" s="35"/>
      <c r="I55" s="44" t="s">
        <v>24</v>
      </c>
      <c r="J55" s="41" t="s">
        <v>472</v>
      </c>
      <c r="K55" s="41"/>
      <c r="L55" s="35"/>
      <c r="M55" s="44"/>
      <c r="N55" s="15"/>
      <c r="O55" s="14"/>
      <c r="P55" s="35"/>
      <c r="Q55" s="100" t="str">
        <f>IF(OR(ISBLANK(I55),I55="4"),'Bewertung - Assessment'!R55,Titel!H$67)</f>
        <v>-</v>
      </c>
      <c r="R55" s="100" t="s">
        <v>45</v>
      </c>
    </row>
    <row r="56" spans="1:18" ht="30" x14ac:dyDescent="0.25">
      <c r="A56" s="110" t="s">
        <v>61</v>
      </c>
      <c r="B56" s="50" t="s">
        <v>189</v>
      </c>
      <c r="C56" s="37" t="s">
        <v>193</v>
      </c>
      <c r="D56" s="88" t="s">
        <v>194</v>
      </c>
      <c r="E56" s="44" t="s">
        <v>30</v>
      </c>
      <c r="F56" s="41"/>
      <c r="G56" s="41"/>
      <c r="H56" s="35"/>
      <c r="I56" s="44" t="s">
        <v>24</v>
      </c>
      <c r="J56" s="41" t="s">
        <v>472</v>
      </c>
      <c r="K56" s="41"/>
      <c r="L56" s="35"/>
      <c r="M56" s="44"/>
      <c r="N56" s="10"/>
      <c r="O56" s="14"/>
      <c r="P56" s="35"/>
      <c r="Q56" s="100" t="str">
        <f>IF(OR(ISBLANK(I56),I56="4"),'Bewertung - Assessment'!R56,Titel!H$67)</f>
        <v>-</v>
      </c>
      <c r="R56" s="100" t="s">
        <v>44</v>
      </c>
    </row>
    <row r="57" spans="1:18" ht="30" x14ac:dyDescent="0.25">
      <c r="A57" s="110" t="s">
        <v>61</v>
      </c>
      <c r="B57" s="50" t="s">
        <v>189</v>
      </c>
      <c r="C57" s="37" t="s">
        <v>195</v>
      </c>
      <c r="D57" s="88" t="s">
        <v>196</v>
      </c>
      <c r="E57" s="44" t="s">
        <v>30</v>
      </c>
      <c r="F57" s="41"/>
      <c r="G57" s="41"/>
      <c r="H57" s="35"/>
      <c r="I57" s="44" t="s">
        <v>24</v>
      </c>
      <c r="J57" s="41" t="s">
        <v>472</v>
      </c>
      <c r="K57" s="41"/>
      <c r="L57" s="35"/>
      <c r="M57" s="44"/>
      <c r="N57" s="15"/>
      <c r="O57" s="14"/>
      <c r="P57" s="35"/>
      <c r="Q57" s="100" t="str">
        <f>IF(OR(ISBLANK(I57),I57="4"),'Bewertung - Assessment'!R57,Titel!H$67)</f>
        <v>-</v>
      </c>
      <c r="R57" s="100" t="s">
        <v>44</v>
      </c>
    </row>
    <row r="58" spans="1:18" ht="30" x14ac:dyDescent="0.25">
      <c r="A58" s="110" t="s">
        <v>61</v>
      </c>
      <c r="B58" s="50" t="s">
        <v>189</v>
      </c>
      <c r="C58" s="37" t="s">
        <v>197</v>
      </c>
      <c r="D58" s="88" t="s">
        <v>198</v>
      </c>
      <c r="E58" s="44" t="s">
        <v>30</v>
      </c>
      <c r="F58" s="41"/>
      <c r="G58" s="41"/>
      <c r="H58" s="35"/>
      <c r="I58" s="44" t="s">
        <v>24</v>
      </c>
      <c r="J58" s="41" t="s">
        <v>472</v>
      </c>
      <c r="K58" s="41"/>
      <c r="L58" s="35"/>
      <c r="M58" s="44"/>
      <c r="N58" s="10"/>
      <c r="O58" s="14"/>
      <c r="P58" s="35"/>
      <c r="Q58" s="100" t="str">
        <f>IF(OR(ISBLANK(I58),I58="4"),'Bewertung - Assessment'!R58,Titel!H$67)</f>
        <v>-</v>
      </c>
      <c r="R58" s="100" t="s">
        <v>45</v>
      </c>
    </row>
    <row r="59" spans="1:18" ht="30" x14ac:dyDescent="0.25">
      <c r="A59" s="110" t="s">
        <v>61</v>
      </c>
      <c r="B59" s="50" t="s">
        <v>189</v>
      </c>
      <c r="C59" s="37" t="s">
        <v>199</v>
      </c>
      <c r="D59" s="88" t="s">
        <v>200</v>
      </c>
      <c r="E59" s="44" t="s">
        <v>30</v>
      </c>
      <c r="F59" s="41"/>
      <c r="G59" s="41"/>
      <c r="H59" s="35"/>
      <c r="I59" s="44" t="s">
        <v>24</v>
      </c>
      <c r="J59" s="41" t="s">
        <v>472</v>
      </c>
      <c r="K59" s="37" t="s">
        <v>465</v>
      </c>
      <c r="L59" s="35"/>
      <c r="M59" s="44"/>
      <c r="N59" s="10"/>
      <c r="O59" s="14"/>
      <c r="P59" s="35"/>
      <c r="Q59" s="100" t="str">
        <f>IF(OR(ISBLANK(I59),I59="4"),'Bewertung - Assessment'!R59,Titel!H$67)</f>
        <v>-</v>
      </c>
      <c r="R59" s="100" t="s">
        <v>45</v>
      </c>
    </row>
    <row r="60" spans="1:18" x14ac:dyDescent="0.25">
      <c r="A60" s="110" t="s">
        <v>61</v>
      </c>
      <c r="B60" s="51" t="s">
        <v>201</v>
      </c>
      <c r="C60" s="92" t="s">
        <v>202</v>
      </c>
      <c r="D60" s="93" t="s">
        <v>202</v>
      </c>
      <c r="E60" s="40"/>
      <c r="F60" s="40"/>
      <c r="G60" s="40"/>
      <c r="H60" s="35"/>
      <c r="I60" s="45"/>
      <c r="J60" s="17"/>
      <c r="K60" s="40"/>
      <c r="L60" s="35"/>
      <c r="M60" s="45"/>
      <c r="N60" s="17"/>
      <c r="O60" s="13"/>
      <c r="P60" s="35"/>
      <c r="Q60" s="103"/>
      <c r="R60" s="5"/>
    </row>
    <row r="61" spans="1:18" x14ac:dyDescent="0.25">
      <c r="A61" s="110" t="s">
        <v>61</v>
      </c>
      <c r="B61" s="50" t="s">
        <v>201</v>
      </c>
      <c r="C61" s="37" t="s">
        <v>203</v>
      </c>
      <c r="D61" s="88" t="s">
        <v>204</v>
      </c>
      <c r="E61" s="44" t="s">
        <v>30</v>
      </c>
      <c r="F61" s="41"/>
      <c r="G61" s="41"/>
      <c r="H61" s="35"/>
      <c r="I61" s="44" t="s">
        <v>24</v>
      </c>
      <c r="J61" s="41" t="s">
        <v>467</v>
      </c>
      <c r="K61" s="37" t="s">
        <v>473</v>
      </c>
      <c r="L61" s="35"/>
      <c r="M61" s="44"/>
      <c r="N61" s="15"/>
      <c r="O61" s="14"/>
      <c r="P61" s="35"/>
      <c r="Q61" s="100" t="str">
        <f>IF(OR(ISBLANK(I61),I61="4"),'Bewertung - Assessment'!R61,Titel!H$67)</f>
        <v>-</v>
      </c>
      <c r="R61" s="100" t="s">
        <v>44</v>
      </c>
    </row>
    <row r="62" spans="1:18" x14ac:dyDescent="0.25">
      <c r="A62" s="110" t="s">
        <v>61</v>
      </c>
      <c r="B62" s="50" t="s">
        <v>201</v>
      </c>
      <c r="C62" s="37" t="s">
        <v>205</v>
      </c>
      <c r="D62" s="88" t="s">
        <v>206</v>
      </c>
      <c r="E62" s="44" t="s">
        <v>30</v>
      </c>
      <c r="F62" s="41"/>
      <c r="G62" s="41"/>
      <c r="H62" s="35"/>
      <c r="I62" s="44" t="s">
        <v>24</v>
      </c>
      <c r="J62" s="41" t="s">
        <v>467</v>
      </c>
      <c r="K62" s="41"/>
      <c r="L62" s="35"/>
      <c r="M62" s="44"/>
      <c r="N62" s="15"/>
      <c r="O62" s="14"/>
      <c r="P62" s="35"/>
      <c r="Q62" s="100" t="str">
        <f>IF(OR(ISBLANK(I62),I62="4"),'Bewertung - Assessment'!R62,Titel!H$67)</f>
        <v>-</v>
      </c>
      <c r="R62" s="100" t="s">
        <v>44</v>
      </c>
    </row>
    <row r="63" spans="1:18" x14ac:dyDescent="0.25">
      <c r="A63" s="110" t="s">
        <v>61</v>
      </c>
      <c r="B63" s="50" t="s">
        <v>201</v>
      </c>
      <c r="C63" s="37" t="s">
        <v>207</v>
      </c>
      <c r="D63" s="88" t="s">
        <v>208</v>
      </c>
      <c r="E63" s="44" t="s">
        <v>30</v>
      </c>
      <c r="F63" s="41"/>
      <c r="G63" s="41"/>
      <c r="H63" s="35"/>
      <c r="I63" s="44" t="s">
        <v>24</v>
      </c>
      <c r="J63" s="41" t="s">
        <v>467</v>
      </c>
      <c r="K63" s="41"/>
      <c r="L63" s="35"/>
      <c r="M63" s="44"/>
      <c r="N63" s="15"/>
      <c r="O63" s="14"/>
      <c r="P63" s="35"/>
      <c r="Q63" s="100" t="str">
        <f>IF(OR(ISBLANK(I63),I63="4"),'Bewertung - Assessment'!R63,Titel!H$67)</f>
        <v>-</v>
      </c>
      <c r="R63" s="100" t="s">
        <v>44</v>
      </c>
    </row>
    <row r="64" spans="1:18" x14ac:dyDescent="0.25">
      <c r="A64" s="110" t="s">
        <v>61</v>
      </c>
      <c r="B64" s="50" t="s">
        <v>201</v>
      </c>
      <c r="C64" s="37" t="s">
        <v>209</v>
      </c>
      <c r="D64" s="88" t="s">
        <v>210</v>
      </c>
      <c r="E64" s="44" t="s">
        <v>30</v>
      </c>
      <c r="F64" s="41"/>
      <c r="G64" s="41"/>
      <c r="H64" s="35"/>
      <c r="I64" s="44" t="s">
        <v>24</v>
      </c>
      <c r="J64" s="41" t="s">
        <v>467</v>
      </c>
      <c r="K64" s="41"/>
      <c r="L64" s="35"/>
      <c r="M64" s="44"/>
      <c r="N64" s="15"/>
      <c r="O64" s="14"/>
      <c r="P64" s="35"/>
      <c r="Q64" s="100" t="str">
        <f>IF(OR(ISBLANK(I64),I64="4"),'Bewertung - Assessment'!R64,Titel!H$67)</f>
        <v>-</v>
      </c>
      <c r="R64" s="100" t="s">
        <v>45</v>
      </c>
    </row>
    <row r="65" spans="1:18" ht="30" x14ac:dyDescent="0.25">
      <c r="A65" s="110" t="s">
        <v>61</v>
      </c>
      <c r="B65" s="50" t="s">
        <v>201</v>
      </c>
      <c r="C65" s="37" t="s">
        <v>211</v>
      </c>
      <c r="D65" s="88" t="s">
        <v>212</v>
      </c>
      <c r="E65" s="44" t="s">
        <v>30</v>
      </c>
      <c r="F65" s="41"/>
      <c r="G65" s="41"/>
      <c r="H65" s="35"/>
      <c r="I65" s="44" t="s">
        <v>30</v>
      </c>
      <c r="J65" s="41" t="s">
        <v>467</v>
      </c>
      <c r="K65" s="37" t="s">
        <v>474</v>
      </c>
      <c r="L65" s="35"/>
      <c r="M65" s="44"/>
      <c r="N65" s="15"/>
      <c r="O65" s="14"/>
      <c r="P65" s="35"/>
      <c r="Q65" s="100" t="str">
        <f>IF(OR(ISBLANK(I65),I65="4"),'Bewertung - Assessment'!R65,Titel!H$67)</f>
        <v>D3</v>
      </c>
      <c r="R65" s="100" t="s">
        <v>45</v>
      </c>
    </row>
    <row r="66" spans="1:18" ht="90" x14ac:dyDescent="0.25">
      <c r="A66" s="110" t="s">
        <v>61</v>
      </c>
      <c r="B66" s="50" t="s">
        <v>201</v>
      </c>
      <c r="C66" s="37" t="s">
        <v>213</v>
      </c>
      <c r="D66" s="88" t="s">
        <v>214</v>
      </c>
      <c r="E66" s="44" t="s">
        <v>30</v>
      </c>
      <c r="F66" s="41"/>
      <c r="G66" s="41"/>
      <c r="H66" s="35"/>
      <c r="I66" s="44" t="s">
        <v>24</v>
      </c>
      <c r="J66" s="41" t="s">
        <v>471</v>
      </c>
      <c r="K66" s="41" t="s">
        <v>466</v>
      </c>
      <c r="L66" s="35"/>
      <c r="M66" s="44"/>
      <c r="N66" s="15"/>
      <c r="O66" s="14"/>
      <c r="P66" s="35"/>
      <c r="Q66" s="100" t="str">
        <f>IF(OR(ISBLANK(I66),I66="4"),'Bewertung - Assessment'!R66,Titel!H$67)</f>
        <v>-</v>
      </c>
      <c r="R66" s="100" t="s">
        <v>45</v>
      </c>
    </row>
    <row r="67" spans="1:18" ht="45" x14ac:dyDescent="0.25">
      <c r="A67" s="110" t="s">
        <v>61</v>
      </c>
      <c r="B67" s="50" t="s">
        <v>215</v>
      </c>
      <c r="C67" s="41" t="s">
        <v>216</v>
      </c>
      <c r="D67" s="91" t="s">
        <v>217</v>
      </c>
      <c r="E67" s="44" t="s">
        <v>30</v>
      </c>
      <c r="F67" s="41"/>
      <c r="G67" s="41" t="s">
        <v>396</v>
      </c>
      <c r="H67" s="35"/>
      <c r="I67" s="44" t="s">
        <v>26</v>
      </c>
      <c r="J67" s="41" t="s">
        <v>475</v>
      </c>
      <c r="K67" s="37" t="s">
        <v>494</v>
      </c>
      <c r="L67" s="35"/>
      <c r="M67" s="44"/>
      <c r="N67" s="10"/>
      <c r="O67" s="14"/>
      <c r="P67" s="35"/>
      <c r="Q67" s="100" t="str">
        <f>IF(OR(ISBLANK(I67),I67="4"),'Bewertung - Assessment'!R67,Titel!H$67)</f>
        <v>-</v>
      </c>
      <c r="R67" s="100" t="s">
        <v>44</v>
      </c>
    </row>
    <row r="68" spans="1:18" ht="45" x14ac:dyDescent="0.25">
      <c r="A68" s="110" t="s">
        <v>61</v>
      </c>
      <c r="B68" s="50" t="s">
        <v>218</v>
      </c>
      <c r="C68" s="41" t="s">
        <v>219</v>
      </c>
      <c r="D68" s="91" t="s">
        <v>220</v>
      </c>
      <c r="E68" s="44" t="s">
        <v>28</v>
      </c>
      <c r="F68" s="41" t="s">
        <v>397</v>
      </c>
      <c r="G68" s="41" t="s">
        <v>398</v>
      </c>
      <c r="H68" s="35"/>
      <c r="I68" s="44" t="s">
        <v>26</v>
      </c>
      <c r="J68" s="41" t="s">
        <v>472</v>
      </c>
      <c r="K68" s="37" t="s">
        <v>476</v>
      </c>
      <c r="L68" s="35"/>
      <c r="M68" s="44"/>
      <c r="N68" s="10"/>
      <c r="O68" s="14"/>
      <c r="P68" s="35"/>
      <c r="Q68" s="100" t="str">
        <f>IF(OR(ISBLANK(I68),I68="4"),'Bewertung - Assessment'!R68,Titel!H$67)</f>
        <v>-</v>
      </c>
      <c r="R68" s="100" t="s">
        <v>45</v>
      </c>
    </row>
    <row r="69" spans="1:18" ht="165" x14ac:dyDescent="0.25">
      <c r="A69" s="110" t="s">
        <v>61</v>
      </c>
      <c r="B69" s="50" t="s">
        <v>221</v>
      </c>
      <c r="C69" s="41" t="s">
        <v>222</v>
      </c>
      <c r="D69" s="91" t="s">
        <v>223</v>
      </c>
      <c r="E69" s="44" t="s">
        <v>24</v>
      </c>
      <c r="F69" s="41" t="s">
        <v>469</v>
      </c>
      <c r="G69" s="37"/>
      <c r="H69" s="35"/>
      <c r="I69" s="44" t="s">
        <v>24</v>
      </c>
      <c r="J69" s="41" t="s">
        <v>468</v>
      </c>
      <c r="K69" s="37"/>
      <c r="L69" s="35"/>
      <c r="M69" s="44"/>
      <c r="N69" s="10"/>
      <c r="O69" s="14"/>
      <c r="P69" s="35"/>
      <c r="Q69" s="100" t="str">
        <f>IF(OR(ISBLANK(I69),I69="4"),'Bewertung - Assessment'!R69,Titel!H$67)</f>
        <v>-</v>
      </c>
      <c r="R69" s="100" t="s">
        <v>45</v>
      </c>
    </row>
    <row r="70" spans="1:18" ht="30" x14ac:dyDescent="0.25">
      <c r="A70" s="110" t="s">
        <v>61</v>
      </c>
      <c r="B70" s="50" t="s">
        <v>224</v>
      </c>
      <c r="C70" s="41" t="s">
        <v>225</v>
      </c>
      <c r="D70" s="91" t="s">
        <v>226</v>
      </c>
      <c r="E70" s="44" t="s">
        <v>26</v>
      </c>
      <c r="F70" s="41" t="s">
        <v>368</v>
      </c>
      <c r="G70" s="37" t="s">
        <v>367</v>
      </c>
      <c r="H70" s="35"/>
      <c r="I70" s="44" t="s">
        <v>26</v>
      </c>
      <c r="J70" s="41" t="s">
        <v>455</v>
      </c>
      <c r="K70" s="41" t="s">
        <v>464</v>
      </c>
      <c r="L70" s="35"/>
      <c r="M70" s="44"/>
      <c r="N70" s="10"/>
      <c r="O70" s="14"/>
      <c r="P70" s="35"/>
      <c r="Q70" s="100" t="str">
        <f>IF(OR(ISBLANK(I70),I70="4"),'Bewertung - Assessment'!R70,Titel!H$67)</f>
        <v>-</v>
      </c>
      <c r="R70" s="100" t="s">
        <v>45</v>
      </c>
    </row>
    <row r="71" spans="1:18" x14ac:dyDescent="0.25">
      <c r="A71" s="110" t="s">
        <v>61</v>
      </c>
      <c r="B71" s="56" t="s">
        <v>227</v>
      </c>
      <c r="C71" s="90" t="s">
        <v>228</v>
      </c>
      <c r="D71" s="90" t="s">
        <v>229</v>
      </c>
      <c r="E71" s="57"/>
      <c r="F71" s="35"/>
      <c r="G71" s="35"/>
      <c r="H71" s="35"/>
      <c r="I71" s="57"/>
      <c r="J71" s="106"/>
      <c r="K71" s="35"/>
      <c r="L71" s="35"/>
      <c r="M71" s="57"/>
      <c r="N71" s="106"/>
      <c r="O71" s="35"/>
      <c r="P71" s="35"/>
      <c r="Q71" s="106"/>
      <c r="R71" s="106"/>
    </row>
    <row r="72" spans="1:18" x14ac:dyDescent="0.25">
      <c r="A72" s="110" t="s">
        <v>61</v>
      </c>
      <c r="B72" s="51" t="s">
        <v>230</v>
      </c>
      <c r="C72" s="92" t="s">
        <v>231</v>
      </c>
      <c r="D72" s="93" t="s">
        <v>232</v>
      </c>
      <c r="E72" s="40"/>
      <c r="F72" s="40"/>
      <c r="G72" s="40"/>
      <c r="H72" s="35"/>
      <c r="I72" s="45"/>
      <c r="J72" s="12"/>
      <c r="K72" s="40"/>
      <c r="L72" s="35"/>
      <c r="M72" s="45"/>
      <c r="N72" s="12"/>
      <c r="O72" s="13"/>
      <c r="P72" s="35"/>
      <c r="Q72" s="101"/>
      <c r="R72" s="5"/>
    </row>
    <row r="73" spans="1:18" x14ac:dyDescent="0.25">
      <c r="A73" s="110" t="s">
        <v>61</v>
      </c>
      <c r="B73" s="50" t="s">
        <v>230</v>
      </c>
      <c r="C73" s="37" t="s">
        <v>233</v>
      </c>
      <c r="D73" s="88" t="s">
        <v>234</v>
      </c>
      <c r="E73" s="44" t="s">
        <v>24</v>
      </c>
      <c r="F73" s="41" t="s">
        <v>400</v>
      </c>
      <c r="G73" s="37" t="s">
        <v>405</v>
      </c>
      <c r="H73" s="35"/>
      <c r="I73" s="44" t="s">
        <v>24</v>
      </c>
      <c r="J73" s="41" t="s">
        <v>456</v>
      </c>
      <c r="K73" s="37" t="s">
        <v>405</v>
      </c>
      <c r="L73" s="35"/>
      <c r="M73" s="44"/>
      <c r="N73" s="10"/>
      <c r="O73" s="14"/>
      <c r="P73" s="35"/>
      <c r="Q73" s="100" t="str">
        <f>IF(OR(ISBLANK(I73),I73="4"),'Bewertung - Assessment'!R73,Titel!H$67)</f>
        <v>-</v>
      </c>
      <c r="R73" s="100" t="s">
        <v>44</v>
      </c>
    </row>
    <row r="74" spans="1:18" ht="30" x14ac:dyDescent="0.25">
      <c r="A74" s="110" t="s">
        <v>61</v>
      </c>
      <c r="B74" s="50" t="s">
        <v>230</v>
      </c>
      <c r="C74" s="37" t="s">
        <v>235</v>
      </c>
      <c r="D74" s="88" t="s">
        <v>236</v>
      </c>
      <c r="E74" s="44" t="s">
        <v>30</v>
      </c>
      <c r="F74" s="41"/>
      <c r="G74" s="41" t="s">
        <v>354</v>
      </c>
      <c r="H74" s="35"/>
      <c r="I74" s="44" t="s">
        <v>26</v>
      </c>
      <c r="J74" s="10"/>
      <c r="K74" s="91" t="s">
        <v>496</v>
      </c>
      <c r="L74" s="35"/>
      <c r="M74" s="44"/>
      <c r="N74" s="10"/>
      <c r="O74" s="14"/>
      <c r="P74" s="35"/>
      <c r="Q74" s="100" t="str">
        <f>IF(OR(ISBLANK(I74),I74="4"),'Bewertung - Assessment'!R74,Titel!H$67)</f>
        <v>-</v>
      </c>
      <c r="R74" s="100" t="s">
        <v>45</v>
      </c>
    </row>
    <row r="75" spans="1:18" ht="30" x14ac:dyDescent="0.25">
      <c r="A75" s="110" t="s">
        <v>61</v>
      </c>
      <c r="B75" s="50" t="s">
        <v>230</v>
      </c>
      <c r="C75" s="37" t="s">
        <v>237</v>
      </c>
      <c r="D75" s="88" t="s">
        <v>238</v>
      </c>
      <c r="E75" s="44" t="s">
        <v>30</v>
      </c>
      <c r="F75" s="41"/>
      <c r="G75" s="41" t="s">
        <v>354</v>
      </c>
      <c r="H75" s="35"/>
      <c r="I75" s="44" t="s">
        <v>26</v>
      </c>
      <c r="J75" s="10"/>
      <c r="K75" s="91" t="s">
        <v>497</v>
      </c>
      <c r="L75" s="35"/>
      <c r="M75" s="44"/>
      <c r="N75" s="10"/>
      <c r="O75" s="14"/>
      <c r="P75" s="35"/>
      <c r="Q75" s="100" t="str">
        <f>IF(OR(ISBLANK(I75),I75="4"),'Bewertung - Assessment'!R75,Titel!H$67)</f>
        <v>-</v>
      </c>
      <c r="R75" s="100" t="s">
        <v>45</v>
      </c>
    </row>
    <row r="76" spans="1:18" ht="30" x14ac:dyDescent="0.25">
      <c r="A76" s="110" t="s">
        <v>68</v>
      </c>
      <c r="B76" s="50" t="s">
        <v>230</v>
      </c>
      <c r="C76" s="37" t="s">
        <v>239</v>
      </c>
      <c r="D76" s="88" t="s">
        <v>239</v>
      </c>
      <c r="E76" s="44" t="s">
        <v>30</v>
      </c>
      <c r="F76" s="41"/>
      <c r="G76" s="41" t="s">
        <v>354</v>
      </c>
      <c r="H76" s="35"/>
      <c r="I76" s="44" t="s">
        <v>26</v>
      </c>
      <c r="J76" s="10"/>
      <c r="K76" s="91" t="s">
        <v>496</v>
      </c>
      <c r="L76" s="35"/>
      <c r="M76" s="44"/>
      <c r="N76" s="10"/>
      <c r="O76" s="14"/>
      <c r="P76" s="35"/>
      <c r="Q76" s="100" t="str">
        <f>IF(OR(ISBLANK(I76),I76="4"),'Bewertung - Assessment'!R76,Titel!H$67)</f>
        <v>-</v>
      </c>
      <c r="R76" s="100" t="s">
        <v>45</v>
      </c>
    </row>
    <row r="77" spans="1:18" x14ac:dyDescent="0.25">
      <c r="A77" s="110" t="s">
        <v>61</v>
      </c>
      <c r="B77" s="50" t="s">
        <v>230</v>
      </c>
      <c r="C77" s="37" t="s">
        <v>240</v>
      </c>
      <c r="D77" s="88" t="s">
        <v>241</v>
      </c>
      <c r="E77" s="44" t="s">
        <v>30</v>
      </c>
      <c r="F77" s="41"/>
      <c r="G77" s="41" t="s">
        <v>354</v>
      </c>
      <c r="H77" s="35"/>
      <c r="I77" s="44" t="s">
        <v>22</v>
      </c>
      <c r="J77" s="10"/>
      <c r="K77" s="91" t="s">
        <v>495</v>
      </c>
      <c r="L77" s="35"/>
      <c r="M77" s="44"/>
      <c r="N77" s="10"/>
      <c r="O77" s="14"/>
      <c r="P77" s="35"/>
      <c r="Q77" s="100" t="str">
        <f>IF(OR(ISBLANK(I77),I77="4"),'Bewertung - Assessment'!R77,Titel!H$67)</f>
        <v>-</v>
      </c>
      <c r="R77" s="100" t="s">
        <v>44</v>
      </c>
    </row>
    <row r="78" spans="1:18" x14ac:dyDescent="0.25">
      <c r="A78" s="110" t="s">
        <v>61</v>
      </c>
      <c r="B78" s="51" t="s">
        <v>242</v>
      </c>
      <c r="C78" s="92" t="s">
        <v>243</v>
      </c>
      <c r="D78" s="93" t="s">
        <v>244</v>
      </c>
      <c r="E78" s="40"/>
      <c r="F78" s="42"/>
      <c r="G78" s="42"/>
      <c r="H78" s="83"/>
      <c r="I78" s="45"/>
      <c r="J78" s="12"/>
      <c r="K78" s="42"/>
      <c r="L78" s="83"/>
      <c r="M78" s="45"/>
      <c r="N78" s="12"/>
      <c r="O78" s="18"/>
      <c r="P78" s="83"/>
      <c r="Q78" s="101"/>
      <c r="R78" s="5"/>
    </row>
    <row r="79" spans="1:18" ht="45" x14ac:dyDescent="0.25">
      <c r="A79" s="110" t="s">
        <v>61</v>
      </c>
      <c r="B79" s="50" t="s">
        <v>242</v>
      </c>
      <c r="C79" s="37" t="s">
        <v>245</v>
      </c>
      <c r="D79" s="88" t="s">
        <v>246</v>
      </c>
      <c r="E79" s="44" t="s">
        <v>28</v>
      </c>
      <c r="F79" s="37"/>
      <c r="G79" s="37" t="s">
        <v>401</v>
      </c>
      <c r="H79" s="83"/>
      <c r="I79" s="44" t="s">
        <v>24</v>
      </c>
      <c r="J79" s="113" t="s">
        <v>477</v>
      </c>
      <c r="K79" s="37"/>
      <c r="L79" s="83"/>
      <c r="M79" s="44"/>
      <c r="N79" s="10"/>
      <c r="O79" s="16"/>
      <c r="P79" s="83"/>
      <c r="Q79" s="100" t="str">
        <f>IF(OR(ISBLANK(I79),I79="4"),'Bewertung - Assessment'!R79,Titel!H$67)</f>
        <v>-</v>
      </c>
      <c r="R79" s="100" t="s">
        <v>44</v>
      </c>
    </row>
    <row r="80" spans="1:18" x14ac:dyDescent="0.25">
      <c r="A80" s="110" t="s">
        <v>61</v>
      </c>
      <c r="B80" s="50" t="s">
        <v>242</v>
      </c>
      <c r="C80" s="37" t="s">
        <v>247</v>
      </c>
      <c r="D80" s="88" t="s">
        <v>248</v>
      </c>
      <c r="E80" s="44" t="s">
        <v>30</v>
      </c>
      <c r="F80" s="41"/>
      <c r="G80" s="41" t="s">
        <v>354</v>
      </c>
      <c r="H80" s="35"/>
      <c r="I80" s="44" t="s">
        <v>24</v>
      </c>
      <c r="J80" s="113" t="s">
        <v>477</v>
      </c>
      <c r="K80" s="41"/>
      <c r="L80" s="35"/>
      <c r="M80" s="44"/>
      <c r="N80" s="10"/>
      <c r="O80" s="14"/>
      <c r="P80" s="35"/>
      <c r="Q80" s="100" t="str">
        <f>IF(OR(ISBLANK(I80),I80="4"),'Bewertung - Assessment'!R80,Titel!H$67)</f>
        <v>-</v>
      </c>
      <c r="R80" s="100" t="s">
        <v>45</v>
      </c>
    </row>
    <row r="81" spans="1:18" x14ac:dyDescent="0.25">
      <c r="A81" s="110" t="s">
        <v>61</v>
      </c>
      <c r="B81" s="50" t="s">
        <v>242</v>
      </c>
      <c r="C81" s="37" t="s">
        <v>249</v>
      </c>
      <c r="D81" s="88" t="s">
        <v>250</v>
      </c>
      <c r="E81" s="44" t="s">
        <v>30</v>
      </c>
      <c r="F81" s="41"/>
      <c r="G81" s="41" t="s">
        <v>354</v>
      </c>
      <c r="H81" s="35"/>
      <c r="I81" s="44" t="s">
        <v>24</v>
      </c>
      <c r="J81" s="113" t="s">
        <v>477</v>
      </c>
      <c r="K81" s="41"/>
      <c r="L81" s="35"/>
      <c r="M81" s="44"/>
      <c r="N81" s="10"/>
      <c r="O81" s="14"/>
      <c r="P81" s="35"/>
      <c r="Q81" s="100" t="str">
        <f>IF(OR(ISBLANK(I81),I81="4"),'Bewertung - Assessment'!R81,Titel!H$67)</f>
        <v>-</v>
      </c>
      <c r="R81" s="100" t="s">
        <v>45</v>
      </c>
    </row>
    <row r="82" spans="1:18" x14ac:dyDescent="0.25">
      <c r="A82" s="110" t="s">
        <v>61</v>
      </c>
      <c r="B82" s="50" t="s">
        <v>242</v>
      </c>
      <c r="C82" s="37" t="s">
        <v>251</v>
      </c>
      <c r="D82" s="88" t="s">
        <v>252</v>
      </c>
      <c r="E82" s="44" t="s">
        <v>30</v>
      </c>
      <c r="F82" s="41"/>
      <c r="G82" s="41" t="s">
        <v>354</v>
      </c>
      <c r="H82" s="35"/>
      <c r="I82" s="44" t="s">
        <v>24</v>
      </c>
      <c r="J82" s="113" t="s">
        <v>477</v>
      </c>
      <c r="K82" s="41"/>
      <c r="L82" s="35"/>
      <c r="M82" s="44"/>
      <c r="N82" s="10"/>
      <c r="O82" s="14"/>
      <c r="P82" s="35"/>
      <c r="Q82" s="100" t="str">
        <f>IF(OR(ISBLANK(I82),I82="4"),'Bewertung - Assessment'!R82,Titel!H$67)</f>
        <v>-</v>
      </c>
      <c r="R82" s="100" t="s">
        <v>45</v>
      </c>
    </row>
    <row r="83" spans="1:18" ht="45" x14ac:dyDescent="0.25">
      <c r="A83" s="110" t="s">
        <v>61</v>
      </c>
      <c r="B83" s="50" t="s">
        <v>242</v>
      </c>
      <c r="C83" s="37" t="s">
        <v>253</v>
      </c>
      <c r="D83" s="88" t="s">
        <v>254</v>
      </c>
      <c r="E83" s="44" t="s">
        <v>30</v>
      </c>
      <c r="F83" s="41"/>
      <c r="G83" s="41" t="s">
        <v>354</v>
      </c>
      <c r="H83" s="35"/>
      <c r="I83" s="44" t="s">
        <v>26</v>
      </c>
      <c r="J83" s="113" t="s">
        <v>477</v>
      </c>
      <c r="K83" s="41" t="s">
        <v>498</v>
      </c>
      <c r="L83" s="35"/>
      <c r="M83" s="44"/>
      <c r="N83" s="10"/>
      <c r="O83" s="14"/>
      <c r="P83" s="35"/>
      <c r="Q83" s="100" t="str">
        <f>IF(OR(ISBLANK(I83),I83="4"),'Bewertung - Assessment'!R83,Titel!H$67)</f>
        <v>-</v>
      </c>
      <c r="R83" s="100" t="s">
        <v>45</v>
      </c>
    </row>
    <row r="84" spans="1:18" x14ac:dyDescent="0.25">
      <c r="A84" s="110" t="s">
        <v>61</v>
      </c>
      <c r="B84" s="50" t="s">
        <v>242</v>
      </c>
      <c r="C84" s="37" t="s">
        <v>255</v>
      </c>
      <c r="D84" s="88" t="s">
        <v>256</v>
      </c>
      <c r="E84" s="44" t="s">
        <v>30</v>
      </c>
      <c r="F84" s="41"/>
      <c r="G84" s="41" t="s">
        <v>354</v>
      </c>
      <c r="H84" s="35"/>
      <c r="I84" s="44" t="s">
        <v>24</v>
      </c>
      <c r="J84" s="113" t="s">
        <v>477</v>
      </c>
      <c r="K84" s="41"/>
      <c r="L84" s="35"/>
      <c r="M84" s="44"/>
      <c r="N84" s="10"/>
      <c r="O84" s="14"/>
      <c r="P84" s="35"/>
      <c r="Q84" s="100" t="str">
        <f>IF(OR(ISBLANK(I84),I84="4"),'Bewertung - Assessment'!R84,Titel!H$67)</f>
        <v>-</v>
      </c>
      <c r="R84" s="100" t="s">
        <v>45</v>
      </c>
    </row>
    <row r="85" spans="1:18" ht="30" x14ac:dyDescent="0.25">
      <c r="A85" s="110" t="s">
        <v>61</v>
      </c>
      <c r="B85" s="50" t="s">
        <v>242</v>
      </c>
      <c r="C85" s="37" t="s">
        <v>257</v>
      </c>
      <c r="D85" s="88" t="s">
        <v>258</v>
      </c>
      <c r="E85" s="44" t="s">
        <v>30</v>
      </c>
      <c r="F85" s="41"/>
      <c r="G85" s="41" t="s">
        <v>354</v>
      </c>
      <c r="H85" s="35"/>
      <c r="I85" s="44" t="s">
        <v>24</v>
      </c>
      <c r="J85" s="113" t="s">
        <v>479</v>
      </c>
      <c r="K85" s="41"/>
      <c r="L85" s="35"/>
      <c r="M85" s="44"/>
      <c r="N85" s="10"/>
      <c r="O85" s="14"/>
      <c r="P85" s="35"/>
      <c r="Q85" s="100" t="str">
        <f>IF(OR(ISBLANK(I85),I85="4"),'Bewertung - Assessment'!R85,Titel!H$67)</f>
        <v>-</v>
      </c>
      <c r="R85" s="100" t="s">
        <v>45</v>
      </c>
    </row>
    <row r="86" spans="1:18" x14ac:dyDescent="0.25">
      <c r="A86" s="110" t="s">
        <v>61</v>
      </c>
      <c r="B86" s="50" t="s">
        <v>242</v>
      </c>
      <c r="C86" s="37" t="s">
        <v>259</v>
      </c>
      <c r="D86" s="88" t="s">
        <v>260</v>
      </c>
      <c r="E86" s="44" t="s">
        <v>30</v>
      </c>
      <c r="F86" s="41"/>
      <c r="G86" s="41" t="s">
        <v>354</v>
      </c>
      <c r="H86" s="35"/>
      <c r="I86" s="44" t="s">
        <v>24</v>
      </c>
      <c r="J86" s="113" t="s">
        <v>457</v>
      </c>
      <c r="K86" s="41" t="s">
        <v>426</v>
      </c>
      <c r="L86" s="35"/>
      <c r="M86" s="44"/>
      <c r="N86" s="10"/>
      <c r="O86" s="14"/>
      <c r="P86" s="35"/>
      <c r="Q86" s="100" t="str">
        <f>IF(OR(ISBLANK(I86),I86="4"),'Bewertung - Assessment'!R86,Titel!H$67)</f>
        <v>-</v>
      </c>
      <c r="R86" s="100" t="s">
        <v>46</v>
      </c>
    </row>
    <row r="87" spans="1:18" x14ac:dyDescent="0.25">
      <c r="A87" s="110" t="s">
        <v>61</v>
      </c>
      <c r="B87" s="51" t="s">
        <v>261</v>
      </c>
      <c r="C87" s="92" t="s">
        <v>262</v>
      </c>
      <c r="D87" s="93" t="s">
        <v>263</v>
      </c>
      <c r="E87" s="40"/>
      <c r="F87" s="42"/>
      <c r="G87" s="42"/>
      <c r="H87" s="83"/>
      <c r="I87" s="45"/>
      <c r="J87" s="12"/>
      <c r="K87" s="42"/>
      <c r="L87" s="83"/>
      <c r="M87" s="45"/>
      <c r="N87" s="12"/>
      <c r="O87" s="18"/>
      <c r="P87" s="83"/>
      <c r="Q87" s="101"/>
      <c r="R87" s="5"/>
    </row>
    <row r="88" spans="1:18" x14ac:dyDescent="0.25">
      <c r="A88" s="110" t="s">
        <v>61</v>
      </c>
      <c r="B88" s="50" t="s">
        <v>261</v>
      </c>
      <c r="C88" s="37" t="s">
        <v>245</v>
      </c>
      <c r="D88" s="88" t="s">
        <v>246</v>
      </c>
      <c r="E88" s="44" t="s">
        <v>30</v>
      </c>
      <c r="F88" s="37"/>
      <c r="G88" s="41" t="s">
        <v>354</v>
      </c>
      <c r="H88" s="83"/>
      <c r="I88" s="44" t="s">
        <v>24</v>
      </c>
      <c r="J88" s="113" t="s">
        <v>477</v>
      </c>
      <c r="K88" s="37"/>
      <c r="L88" s="83"/>
      <c r="M88" s="44"/>
      <c r="N88" s="10"/>
      <c r="O88" s="16"/>
      <c r="P88" s="83"/>
      <c r="Q88" s="100" t="str">
        <f>IF(OR(ISBLANK(I88),I88="4"),'Bewertung - Assessment'!R88,Titel!H$67)</f>
        <v>-</v>
      </c>
      <c r="R88" s="100" t="s">
        <v>44</v>
      </c>
    </row>
    <row r="89" spans="1:18" x14ac:dyDescent="0.25">
      <c r="A89" s="110" t="s">
        <v>61</v>
      </c>
      <c r="B89" s="50" t="s">
        <v>261</v>
      </c>
      <c r="C89" s="37" t="s">
        <v>264</v>
      </c>
      <c r="D89" s="88" t="s">
        <v>265</v>
      </c>
      <c r="E89" s="44" t="s">
        <v>30</v>
      </c>
      <c r="F89" s="41"/>
      <c r="G89" s="41" t="s">
        <v>354</v>
      </c>
      <c r="H89" s="35"/>
      <c r="I89" s="44" t="s">
        <v>24</v>
      </c>
      <c r="J89" s="113" t="s">
        <v>477</v>
      </c>
      <c r="K89" s="41"/>
      <c r="L89" s="35"/>
      <c r="M89" s="44"/>
      <c r="N89" s="10"/>
      <c r="O89" s="14"/>
      <c r="P89" s="35"/>
      <c r="Q89" s="100" t="str">
        <f>IF(OR(ISBLANK(I89),I89="4"),'Bewertung - Assessment'!R89,Titel!H$67)</f>
        <v>-</v>
      </c>
      <c r="R89" s="100" t="s">
        <v>45</v>
      </c>
    </row>
    <row r="90" spans="1:18" x14ac:dyDescent="0.25">
      <c r="A90" s="110" t="s">
        <v>61</v>
      </c>
      <c r="B90" s="50" t="s">
        <v>261</v>
      </c>
      <c r="C90" s="37" t="s">
        <v>266</v>
      </c>
      <c r="D90" s="88" t="s">
        <v>267</v>
      </c>
      <c r="E90" s="44" t="s">
        <v>30</v>
      </c>
      <c r="F90" s="37"/>
      <c r="G90" s="41" t="s">
        <v>354</v>
      </c>
      <c r="H90" s="83"/>
      <c r="I90" s="44" t="s">
        <v>24</v>
      </c>
      <c r="J90" s="113" t="s">
        <v>477</v>
      </c>
      <c r="K90" s="37"/>
      <c r="L90" s="83"/>
      <c r="M90" s="44"/>
      <c r="N90" s="10"/>
      <c r="O90" s="16"/>
      <c r="P90" s="83"/>
      <c r="Q90" s="100" t="str">
        <f>IF(OR(ISBLANK(I90),I90="4"),'Bewertung - Assessment'!R90,Titel!H$67)</f>
        <v>-</v>
      </c>
      <c r="R90" s="100" t="s">
        <v>45</v>
      </c>
    </row>
    <row r="91" spans="1:18" ht="30" x14ac:dyDescent="0.25">
      <c r="A91" s="110" t="s">
        <v>61</v>
      </c>
      <c r="B91" s="50" t="s">
        <v>261</v>
      </c>
      <c r="C91" s="37" t="s">
        <v>268</v>
      </c>
      <c r="D91" s="88" t="s">
        <v>254</v>
      </c>
      <c r="E91" s="44" t="s">
        <v>30</v>
      </c>
      <c r="F91" s="37"/>
      <c r="G91" s="41" t="s">
        <v>354</v>
      </c>
      <c r="H91" s="83"/>
      <c r="I91" s="44" t="s">
        <v>26</v>
      </c>
      <c r="J91" s="113" t="s">
        <v>477</v>
      </c>
      <c r="K91" s="37" t="s">
        <v>499</v>
      </c>
      <c r="L91" s="83"/>
      <c r="M91" s="44"/>
      <c r="N91" s="10"/>
      <c r="O91" s="16"/>
      <c r="P91" s="83"/>
      <c r="Q91" s="100" t="str">
        <f>IF(OR(ISBLANK(I91),I91="4"),'Bewertung - Assessment'!R91,Titel!H$67)</f>
        <v>-</v>
      </c>
      <c r="R91" s="100" t="s">
        <v>45</v>
      </c>
    </row>
    <row r="92" spans="1:18" x14ac:dyDescent="0.25">
      <c r="A92" s="110" t="s">
        <v>61</v>
      </c>
      <c r="B92" s="50" t="s">
        <v>261</v>
      </c>
      <c r="C92" s="37" t="s">
        <v>269</v>
      </c>
      <c r="D92" s="88" t="s">
        <v>269</v>
      </c>
      <c r="E92" s="44" t="s">
        <v>30</v>
      </c>
      <c r="F92" s="37"/>
      <c r="G92" s="41" t="s">
        <v>354</v>
      </c>
      <c r="H92" s="83"/>
      <c r="I92" s="44" t="s">
        <v>30</v>
      </c>
      <c r="J92" s="113" t="s">
        <v>477</v>
      </c>
      <c r="K92" s="37" t="s">
        <v>480</v>
      </c>
      <c r="L92" s="83"/>
      <c r="M92" s="44"/>
      <c r="N92" s="10"/>
      <c r="O92" s="16"/>
      <c r="P92" s="83"/>
      <c r="Q92" s="100" t="str">
        <f>IF(OR(ISBLANK(I92),I92="4"),'Bewertung - Assessment'!R92,Titel!H$67)</f>
        <v>D3</v>
      </c>
      <c r="R92" s="100" t="s">
        <v>45</v>
      </c>
    </row>
    <row r="93" spans="1:18" x14ac:dyDescent="0.25">
      <c r="A93" s="110" t="s">
        <v>61</v>
      </c>
      <c r="B93" s="50" t="s">
        <v>261</v>
      </c>
      <c r="C93" s="37" t="s">
        <v>255</v>
      </c>
      <c r="D93" s="88" t="s">
        <v>256</v>
      </c>
      <c r="E93" s="44" t="s">
        <v>30</v>
      </c>
      <c r="F93" s="37"/>
      <c r="G93" s="41" t="s">
        <v>354</v>
      </c>
      <c r="H93" s="83"/>
      <c r="I93" s="44" t="s">
        <v>24</v>
      </c>
      <c r="J93" s="113" t="s">
        <v>477</v>
      </c>
      <c r="K93" s="37" t="s">
        <v>425</v>
      </c>
      <c r="L93" s="83"/>
      <c r="M93" s="44"/>
      <c r="N93" s="10"/>
      <c r="O93" s="16"/>
      <c r="P93" s="83"/>
      <c r="Q93" s="100" t="str">
        <f>IF(OR(ISBLANK(I93),I93="4"),'Bewertung - Assessment'!R93,Titel!H$67)</f>
        <v>-</v>
      </c>
      <c r="R93" s="100" t="s">
        <v>45</v>
      </c>
    </row>
    <row r="94" spans="1:18" x14ac:dyDescent="0.25">
      <c r="A94" s="110" t="s">
        <v>61</v>
      </c>
      <c r="B94" s="50" t="s">
        <v>261</v>
      </c>
      <c r="C94" s="37" t="s">
        <v>270</v>
      </c>
      <c r="D94" s="88" t="s">
        <v>271</v>
      </c>
      <c r="E94" s="44" t="s">
        <v>30</v>
      </c>
      <c r="F94" s="37"/>
      <c r="G94" s="41" t="s">
        <v>354</v>
      </c>
      <c r="H94" s="83"/>
      <c r="I94" s="44" t="s">
        <v>24</v>
      </c>
      <c r="J94" s="113" t="s">
        <v>477</v>
      </c>
      <c r="K94" s="37" t="s">
        <v>481</v>
      </c>
      <c r="L94" s="83"/>
      <c r="M94" s="44"/>
      <c r="N94" s="10"/>
      <c r="O94" s="16"/>
      <c r="P94" s="83"/>
      <c r="Q94" s="100" t="str">
        <f>IF(OR(ISBLANK(I94),I94="4"),'Bewertung - Assessment'!R94,Titel!H$67)</f>
        <v>-</v>
      </c>
      <c r="R94" s="100" t="s">
        <v>45</v>
      </c>
    </row>
    <row r="95" spans="1:18" x14ac:dyDescent="0.25">
      <c r="A95" s="110" t="s">
        <v>61</v>
      </c>
      <c r="B95" s="50" t="s">
        <v>261</v>
      </c>
      <c r="C95" s="37" t="s">
        <v>272</v>
      </c>
      <c r="D95" s="88" t="s">
        <v>273</v>
      </c>
      <c r="E95" s="44" t="s">
        <v>30</v>
      </c>
      <c r="F95" s="37"/>
      <c r="G95" s="41" t="s">
        <v>354</v>
      </c>
      <c r="H95" s="83"/>
      <c r="I95" s="44" t="s">
        <v>24</v>
      </c>
      <c r="J95" s="113" t="s">
        <v>477</v>
      </c>
      <c r="K95" s="37" t="s">
        <v>480</v>
      </c>
      <c r="L95" s="83"/>
      <c r="M95" s="44"/>
      <c r="N95" s="10"/>
      <c r="O95" s="16"/>
      <c r="P95" s="83"/>
      <c r="Q95" s="100" t="str">
        <f>IF(OR(ISBLANK(I95),I95="4"),'Bewertung - Assessment'!R95,Titel!H$67)</f>
        <v>-</v>
      </c>
      <c r="R95" s="100" t="s">
        <v>45</v>
      </c>
    </row>
    <row r="96" spans="1:18" x14ac:dyDescent="0.25">
      <c r="A96" s="110" t="s">
        <v>61</v>
      </c>
      <c r="B96" s="50" t="s">
        <v>261</v>
      </c>
      <c r="C96" s="37" t="s">
        <v>274</v>
      </c>
      <c r="D96" s="88" t="s">
        <v>275</v>
      </c>
      <c r="E96" s="44" t="s">
        <v>30</v>
      </c>
      <c r="F96" s="37"/>
      <c r="G96" s="41" t="s">
        <v>354</v>
      </c>
      <c r="H96" s="83"/>
      <c r="I96" s="44" t="s">
        <v>30</v>
      </c>
      <c r="J96" s="113" t="s">
        <v>477</v>
      </c>
      <c r="K96" s="37" t="s">
        <v>480</v>
      </c>
      <c r="L96" s="83"/>
      <c r="M96" s="44"/>
      <c r="N96" s="10"/>
      <c r="O96" s="16"/>
      <c r="P96" s="83"/>
      <c r="Q96" s="100" t="str">
        <f>IF(OR(ISBLANK(I96),I96="4"),'Bewertung - Assessment'!R96,Titel!H$67)</f>
        <v>D3</v>
      </c>
      <c r="R96" s="100" t="s">
        <v>45</v>
      </c>
    </row>
    <row r="97" spans="1:18" ht="74.25" customHeight="1" x14ac:dyDescent="0.25">
      <c r="A97" s="110" t="s">
        <v>61</v>
      </c>
      <c r="B97" s="50" t="s">
        <v>261</v>
      </c>
      <c r="C97" s="37" t="s">
        <v>276</v>
      </c>
      <c r="D97" s="88" t="s">
        <v>277</v>
      </c>
      <c r="E97" s="44" t="s">
        <v>30</v>
      </c>
      <c r="F97" s="37"/>
      <c r="G97" s="41" t="s">
        <v>354</v>
      </c>
      <c r="H97" s="83"/>
      <c r="I97" s="44" t="s">
        <v>26</v>
      </c>
      <c r="J97" s="41" t="s">
        <v>467</v>
      </c>
      <c r="K97" s="37" t="s">
        <v>500</v>
      </c>
      <c r="L97" s="83"/>
      <c r="M97" s="44"/>
      <c r="N97" s="10"/>
      <c r="O97" s="16"/>
      <c r="P97" s="83"/>
      <c r="Q97" s="100" t="str">
        <f>IF(OR(ISBLANK(I97),I97="4"),'Bewertung - Assessment'!R97,Titel!H$67)</f>
        <v>-</v>
      </c>
      <c r="R97" s="100" t="s">
        <v>45</v>
      </c>
    </row>
    <row r="98" spans="1:18" x14ac:dyDescent="0.25">
      <c r="A98" s="110" t="s">
        <v>61</v>
      </c>
      <c r="B98" s="50" t="s">
        <v>261</v>
      </c>
      <c r="C98" s="37" t="s">
        <v>278</v>
      </c>
      <c r="D98" s="88" t="s">
        <v>279</v>
      </c>
      <c r="E98" s="44" t="s">
        <v>30</v>
      </c>
      <c r="F98" s="37"/>
      <c r="G98" s="41" t="s">
        <v>354</v>
      </c>
      <c r="H98" s="83"/>
      <c r="I98" s="44" t="s">
        <v>24</v>
      </c>
      <c r="J98" s="113" t="s">
        <v>457</v>
      </c>
      <c r="K98" s="37"/>
      <c r="L98" s="83"/>
      <c r="M98" s="44"/>
      <c r="N98" s="10"/>
      <c r="O98" s="16"/>
      <c r="P98" s="83"/>
      <c r="Q98" s="100" t="str">
        <f>IF(OR(ISBLANK(I98),I98="4"),'Bewertung - Assessment'!R98,Titel!H$67)</f>
        <v>-</v>
      </c>
      <c r="R98" s="100" t="s">
        <v>45</v>
      </c>
    </row>
    <row r="99" spans="1:18" x14ac:dyDescent="0.25">
      <c r="A99" s="110" t="s">
        <v>61</v>
      </c>
      <c r="B99" s="50" t="s">
        <v>261</v>
      </c>
      <c r="C99" s="37" t="s">
        <v>280</v>
      </c>
      <c r="D99" s="88" t="s">
        <v>260</v>
      </c>
      <c r="E99" s="44" t="s">
        <v>30</v>
      </c>
      <c r="F99" s="37"/>
      <c r="G99" s="41" t="s">
        <v>354</v>
      </c>
      <c r="H99" s="83"/>
      <c r="I99" s="44" t="s">
        <v>24</v>
      </c>
      <c r="J99" s="113" t="s">
        <v>457</v>
      </c>
      <c r="K99" s="37" t="s">
        <v>426</v>
      </c>
      <c r="L99" s="83"/>
      <c r="M99" s="44"/>
      <c r="N99" s="10"/>
      <c r="O99" s="16"/>
      <c r="P99" s="83"/>
      <c r="Q99" s="100" t="str">
        <f>IF(OR(ISBLANK(I99),I99="4"),'Bewertung - Assessment'!R99,Titel!H$67)</f>
        <v>-</v>
      </c>
      <c r="R99" s="100" t="s">
        <v>46</v>
      </c>
    </row>
    <row r="100" spans="1:18" ht="30" x14ac:dyDescent="0.25">
      <c r="A100" s="110" t="s">
        <v>61</v>
      </c>
      <c r="B100" s="50" t="s">
        <v>261</v>
      </c>
      <c r="C100" s="37" t="s">
        <v>281</v>
      </c>
      <c r="D100" s="88" t="s">
        <v>282</v>
      </c>
      <c r="E100" s="44" t="s">
        <v>30</v>
      </c>
      <c r="F100" s="41"/>
      <c r="G100" s="41" t="s">
        <v>354</v>
      </c>
      <c r="H100" s="35"/>
      <c r="I100" s="44" t="s">
        <v>24</v>
      </c>
      <c r="J100" s="41" t="s">
        <v>467</v>
      </c>
      <c r="K100" s="41" t="s">
        <v>482</v>
      </c>
      <c r="L100" s="35"/>
      <c r="M100" s="44"/>
      <c r="N100" s="10"/>
      <c r="O100" s="14"/>
      <c r="P100" s="35"/>
      <c r="Q100" s="100" t="str">
        <f>IF(OR(ISBLANK(I100),I100="4"),'Bewertung - Assessment'!R100,Titel!H$67)</f>
        <v>-</v>
      </c>
      <c r="R100" s="100" t="s">
        <v>45</v>
      </c>
    </row>
    <row r="101" spans="1:18" x14ac:dyDescent="0.25">
      <c r="A101" s="110" t="s">
        <v>61</v>
      </c>
      <c r="B101" s="50" t="s">
        <v>261</v>
      </c>
      <c r="C101" s="37" t="s">
        <v>283</v>
      </c>
      <c r="D101" s="88" t="s">
        <v>284</v>
      </c>
      <c r="E101" s="44" t="s">
        <v>30</v>
      </c>
      <c r="F101" s="41"/>
      <c r="G101" s="41" t="s">
        <v>354</v>
      </c>
      <c r="H101" s="35"/>
      <c r="I101" s="44" t="s">
        <v>30</v>
      </c>
      <c r="J101" s="113"/>
      <c r="K101" s="37" t="s">
        <v>480</v>
      </c>
      <c r="L101" s="35"/>
      <c r="M101" s="44"/>
      <c r="N101" s="10"/>
      <c r="O101" s="14"/>
      <c r="P101" s="35"/>
      <c r="Q101" s="100" t="str">
        <f>IF(OR(ISBLANK(I101),I101="4"),'Bewertung - Assessment'!R101,Titel!H$67)</f>
        <v>D2</v>
      </c>
      <c r="R101" s="100" t="s">
        <v>44</v>
      </c>
    </row>
    <row r="102" spans="1:18" x14ac:dyDescent="0.25">
      <c r="A102" s="110" t="s">
        <v>61</v>
      </c>
      <c r="B102" s="50" t="s">
        <v>261</v>
      </c>
      <c r="C102" s="37" t="s">
        <v>285</v>
      </c>
      <c r="D102" s="88" t="s">
        <v>286</v>
      </c>
      <c r="E102" s="44" t="s">
        <v>30</v>
      </c>
      <c r="F102" s="41"/>
      <c r="G102" s="41" t="s">
        <v>354</v>
      </c>
      <c r="H102" s="35"/>
      <c r="I102" s="44" t="s">
        <v>22</v>
      </c>
      <c r="J102" s="113"/>
      <c r="K102" s="37" t="s">
        <v>501</v>
      </c>
      <c r="L102" s="35"/>
      <c r="M102" s="44"/>
      <c r="N102" s="10"/>
      <c r="O102" s="14"/>
      <c r="P102" s="35"/>
      <c r="Q102" s="100" t="str">
        <f>IF(OR(ISBLANK(I102),I102="4"),'Bewertung - Assessment'!R102,Titel!H$67)</f>
        <v>-</v>
      </c>
      <c r="R102" s="100" t="s">
        <v>44</v>
      </c>
    </row>
    <row r="103" spans="1:18" x14ac:dyDescent="0.25">
      <c r="A103" s="110" t="s">
        <v>61</v>
      </c>
      <c r="B103" s="50" t="s">
        <v>261</v>
      </c>
      <c r="C103" s="37" t="s">
        <v>287</v>
      </c>
      <c r="D103" s="88" t="s">
        <v>288</v>
      </c>
      <c r="E103" s="44" t="s">
        <v>30</v>
      </c>
      <c r="F103" s="41"/>
      <c r="G103" s="41" t="s">
        <v>354</v>
      </c>
      <c r="H103" s="35"/>
      <c r="I103" s="44" t="s">
        <v>24</v>
      </c>
      <c r="J103" s="113" t="s">
        <v>423</v>
      </c>
      <c r="K103" s="41"/>
      <c r="L103" s="35"/>
      <c r="M103" s="44"/>
      <c r="N103" s="10"/>
      <c r="O103" s="14"/>
      <c r="P103" s="35"/>
      <c r="Q103" s="100" t="str">
        <f>IF(OR(ISBLANK(I103),I103="4"),'Bewertung - Assessment'!R103,Titel!H$67)</f>
        <v>-</v>
      </c>
      <c r="R103" s="100" t="s">
        <v>44</v>
      </c>
    </row>
    <row r="104" spans="1:18" x14ac:dyDescent="0.25">
      <c r="A104" s="110" t="s">
        <v>61</v>
      </c>
      <c r="B104" s="51" t="s">
        <v>289</v>
      </c>
      <c r="C104" s="92" t="s">
        <v>290</v>
      </c>
      <c r="D104" s="93" t="s">
        <v>290</v>
      </c>
      <c r="E104" s="40"/>
      <c r="F104" s="42"/>
      <c r="G104" s="42"/>
      <c r="H104" s="83"/>
      <c r="I104" s="45"/>
      <c r="J104" s="114"/>
      <c r="K104" s="42"/>
      <c r="L104" s="83"/>
      <c r="M104" s="45"/>
      <c r="N104" s="12"/>
      <c r="O104" s="18"/>
      <c r="P104" s="83"/>
      <c r="Q104" s="101"/>
      <c r="R104" s="5"/>
    </row>
    <row r="105" spans="1:18" x14ac:dyDescent="0.25">
      <c r="A105" s="110" t="s">
        <v>61</v>
      </c>
      <c r="B105" s="50" t="s">
        <v>289</v>
      </c>
      <c r="C105" s="37" t="s">
        <v>245</v>
      </c>
      <c r="D105" s="88" t="s">
        <v>246</v>
      </c>
      <c r="E105" s="44" t="s">
        <v>30</v>
      </c>
      <c r="F105" s="41"/>
      <c r="G105" s="41" t="s">
        <v>354</v>
      </c>
      <c r="H105" s="83"/>
      <c r="I105" s="44" t="s">
        <v>30</v>
      </c>
      <c r="J105" s="113"/>
      <c r="K105" s="41" t="s">
        <v>461</v>
      </c>
      <c r="L105" s="83"/>
      <c r="M105" s="44"/>
      <c r="N105" s="10"/>
      <c r="O105" s="16"/>
      <c r="P105" s="83"/>
      <c r="Q105" s="100" t="str">
        <f>IF(OR(ISBLANK(I105),I105="4"),'Bewertung - Assessment'!R105,Titel!H$67)</f>
        <v>D2</v>
      </c>
      <c r="R105" s="100" t="s">
        <v>44</v>
      </c>
    </row>
    <row r="106" spans="1:18" x14ac:dyDescent="0.25">
      <c r="A106" s="110" t="s">
        <v>61</v>
      </c>
      <c r="B106" s="50" t="s">
        <v>289</v>
      </c>
      <c r="C106" s="37" t="s">
        <v>291</v>
      </c>
      <c r="D106" s="88" t="s">
        <v>292</v>
      </c>
      <c r="E106" s="44" t="s">
        <v>30</v>
      </c>
      <c r="F106" s="41"/>
      <c r="G106" s="41" t="s">
        <v>354</v>
      </c>
      <c r="H106" s="83"/>
      <c r="I106" s="44" t="s">
        <v>30</v>
      </c>
      <c r="J106" s="113"/>
      <c r="K106" s="41" t="s">
        <v>461</v>
      </c>
      <c r="L106" s="83"/>
      <c r="M106" s="44"/>
      <c r="N106" s="10"/>
      <c r="O106" s="16"/>
      <c r="P106" s="83"/>
      <c r="Q106" s="100" t="str">
        <f>IF(OR(ISBLANK(I106),I106="4"),'Bewertung - Assessment'!R106,Titel!H$67)</f>
        <v>D3</v>
      </c>
      <c r="R106" s="100" t="s">
        <v>45</v>
      </c>
    </row>
    <row r="107" spans="1:18" x14ac:dyDescent="0.25">
      <c r="A107" s="110" t="s">
        <v>61</v>
      </c>
      <c r="B107" s="50" t="s">
        <v>289</v>
      </c>
      <c r="C107" s="37" t="s">
        <v>266</v>
      </c>
      <c r="D107" s="88" t="s">
        <v>267</v>
      </c>
      <c r="E107" s="44" t="s">
        <v>30</v>
      </c>
      <c r="F107" s="41"/>
      <c r="G107" s="41" t="s">
        <v>354</v>
      </c>
      <c r="H107" s="83"/>
      <c r="I107" s="44" t="s">
        <v>30</v>
      </c>
      <c r="J107" s="113"/>
      <c r="K107" s="41" t="s">
        <v>461</v>
      </c>
      <c r="L107" s="83"/>
      <c r="M107" s="44"/>
      <c r="N107" s="10"/>
      <c r="O107" s="16"/>
      <c r="P107" s="83"/>
      <c r="Q107" s="100" t="str">
        <f>IF(OR(ISBLANK(I107),I107="4"),'Bewertung - Assessment'!R107,Titel!H$67)</f>
        <v>D3</v>
      </c>
      <c r="R107" s="100" t="s">
        <v>45</v>
      </c>
    </row>
    <row r="108" spans="1:18" x14ac:dyDescent="0.25">
      <c r="A108" s="110" t="s">
        <v>61</v>
      </c>
      <c r="B108" s="50" t="s">
        <v>289</v>
      </c>
      <c r="C108" s="37" t="s">
        <v>293</v>
      </c>
      <c r="D108" s="88" t="s">
        <v>294</v>
      </c>
      <c r="E108" s="44" t="s">
        <v>30</v>
      </c>
      <c r="F108" s="41"/>
      <c r="G108" s="41" t="s">
        <v>354</v>
      </c>
      <c r="H108" s="83"/>
      <c r="I108" s="44" t="s">
        <v>30</v>
      </c>
      <c r="J108" s="113"/>
      <c r="K108" s="41" t="s">
        <v>461</v>
      </c>
      <c r="L108" s="83"/>
      <c r="M108" s="44"/>
      <c r="N108" s="10"/>
      <c r="O108" s="16"/>
      <c r="P108" s="83"/>
      <c r="Q108" s="100" t="str">
        <f>IF(OR(ISBLANK(I108),I108="4"),'Bewertung - Assessment'!R108,Titel!H$67)</f>
        <v>D3</v>
      </c>
      <c r="R108" s="100" t="s">
        <v>45</v>
      </c>
    </row>
    <row r="109" spans="1:18" x14ac:dyDescent="0.25">
      <c r="A109" s="110" t="s">
        <v>61</v>
      </c>
      <c r="B109" s="50" t="s">
        <v>289</v>
      </c>
      <c r="C109" s="37" t="s">
        <v>295</v>
      </c>
      <c r="D109" s="88" t="s">
        <v>296</v>
      </c>
      <c r="E109" s="44" t="s">
        <v>30</v>
      </c>
      <c r="F109" s="41"/>
      <c r="G109" s="41" t="s">
        <v>354</v>
      </c>
      <c r="H109" s="83"/>
      <c r="I109" s="44" t="s">
        <v>30</v>
      </c>
      <c r="J109" s="113"/>
      <c r="K109" s="41" t="s">
        <v>461</v>
      </c>
      <c r="L109" s="83"/>
      <c r="M109" s="44"/>
      <c r="N109" s="10"/>
      <c r="O109" s="16"/>
      <c r="P109" s="83"/>
      <c r="Q109" s="100" t="str">
        <f>IF(OR(ISBLANK(I109),I109="4"),'Bewertung - Assessment'!R109,Titel!H$67)</f>
        <v>D3</v>
      </c>
      <c r="R109" s="100" t="s">
        <v>45</v>
      </c>
    </row>
    <row r="110" spans="1:18" x14ac:dyDescent="0.25">
      <c r="A110" s="110" t="s">
        <v>61</v>
      </c>
      <c r="B110" s="50" t="s">
        <v>289</v>
      </c>
      <c r="C110" s="37" t="s">
        <v>255</v>
      </c>
      <c r="D110" s="88" t="s">
        <v>256</v>
      </c>
      <c r="E110" s="44" t="s">
        <v>30</v>
      </c>
      <c r="F110" s="41"/>
      <c r="G110" s="41" t="s">
        <v>354</v>
      </c>
      <c r="H110" s="83"/>
      <c r="I110" s="44" t="s">
        <v>30</v>
      </c>
      <c r="J110" s="113"/>
      <c r="K110" s="41" t="s">
        <v>461</v>
      </c>
      <c r="L110" s="83"/>
      <c r="M110" s="44"/>
      <c r="N110" s="10"/>
      <c r="O110" s="16"/>
      <c r="P110" s="83"/>
      <c r="Q110" s="100" t="str">
        <f>IF(OR(ISBLANK(I110),I110="4"),'Bewertung - Assessment'!R110,Titel!H$67)</f>
        <v>D3</v>
      </c>
      <c r="R110" s="100" t="s">
        <v>45</v>
      </c>
    </row>
    <row r="111" spans="1:18" x14ac:dyDescent="0.25">
      <c r="A111" s="110" t="s">
        <v>61</v>
      </c>
      <c r="B111" s="50" t="s">
        <v>289</v>
      </c>
      <c r="C111" s="37" t="s">
        <v>297</v>
      </c>
      <c r="D111" s="88" t="s">
        <v>271</v>
      </c>
      <c r="E111" s="44" t="s">
        <v>30</v>
      </c>
      <c r="F111" s="41"/>
      <c r="G111" s="41" t="s">
        <v>354</v>
      </c>
      <c r="H111" s="83"/>
      <c r="I111" s="44" t="s">
        <v>30</v>
      </c>
      <c r="J111" s="113"/>
      <c r="K111" s="41" t="s">
        <v>461</v>
      </c>
      <c r="L111" s="83"/>
      <c r="M111" s="44"/>
      <c r="N111" s="10"/>
      <c r="O111" s="16"/>
      <c r="P111" s="83"/>
      <c r="Q111" s="100" t="str">
        <f>IF(OR(ISBLANK(I111),I111="4"),'Bewertung - Assessment'!R111,Titel!H$67)</f>
        <v>D3</v>
      </c>
      <c r="R111" s="100" t="s">
        <v>45</v>
      </c>
    </row>
    <row r="112" spans="1:18" x14ac:dyDescent="0.25">
      <c r="A112" s="110" t="s">
        <v>61</v>
      </c>
      <c r="B112" s="50" t="s">
        <v>289</v>
      </c>
      <c r="C112" s="37" t="s">
        <v>272</v>
      </c>
      <c r="D112" s="88" t="s">
        <v>273</v>
      </c>
      <c r="E112" s="44" t="s">
        <v>30</v>
      </c>
      <c r="F112" s="41"/>
      <c r="G112" s="41" t="s">
        <v>354</v>
      </c>
      <c r="H112" s="83"/>
      <c r="I112" s="44" t="s">
        <v>30</v>
      </c>
      <c r="J112" s="113"/>
      <c r="K112" s="41" t="s">
        <v>461</v>
      </c>
      <c r="L112" s="83"/>
      <c r="M112" s="44"/>
      <c r="N112" s="10"/>
      <c r="O112" s="16"/>
      <c r="P112" s="83"/>
      <c r="Q112" s="100" t="str">
        <f>IF(OR(ISBLANK(I112),I112="4"),'Bewertung - Assessment'!R112,Titel!H$67)</f>
        <v>D3</v>
      </c>
      <c r="R112" s="100" t="s">
        <v>45</v>
      </c>
    </row>
    <row r="113" spans="1:18" x14ac:dyDescent="0.25">
      <c r="A113" s="110" t="s">
        <v>61</v>
      </c>
      <c r="B113" s="50" t="s">
        <v>289</v>
      </c>
      <c r="C113" s="37" t="s">
        <v>298</v>
      </c>
      <c r="D113" s="88" t="s">
        <v>299</v>
      </c>
      <c r="E113" s="44" t="s">
        <v>30</v>
      </c>
      <c r="F113" s="41"/>
      <c r="G113" s="41" t="s">
        <v>354</v>
      </c>
      <c r="H113" s="83"/>
      <c r="I113" s="44" t="s">
        <v>30</v>
      </c>
      <c r="J113" s="113"/>
      <c r="K113" s="41" t="s">
        <v>461</v>
      </c>
      <c r="L113" s="83"/>
      <c r="M113" s="44"/>
      <c r="N113" s="10"/>
      <c r="O113" s="16"/>
      <c r="P113" s="83"/>
      <c r="Q113" s="100" t="str">
        <f>IF(OR(ISBLANK(I113),I113="4"),'Bewertung - Assessment'!R113,Titel!H$67)</f>
        <v>D3</v>
      </c>
      <c r="R113" s="100" t="s">
        <v>45</v>
      </c>
    </row>
    <row r="114" spans="1:18" x14ac:dyDescent="0.25">
      <c r="A114" s="110" t="s">
        <v>61</v>
      </c>
      <c r="B114" s="50" t="s">
        <v>289</v>
      </c>
      <c r="C114" s="37" t="s">
        <v>274</v>
      </c>
      <c r="D114" s="88" t="s">
        <v>275</v>
      </c>
      <c r="E114" s="44" t="s">
        <v>30</v>
      </c>
      <c r="F114" s="41"/>
      <c r="G114" s="41" t="s">
        <v>354</v>
      </c>
      <c r="H114" s="83"/>
      <c r="I114" s="44" t="s">
        <v>30</v>
      </c>
      <c r="J114" s="113"/>
      <c r="K114" s="41" t="s">
        <v>461</v>
      </c>
      <c r="L114" s="83"/>
      <c r="M114" s="44"/>
      <c r="N114" s="10"/>
      <c r="O114" s="16"/>
      <c r="P114" s="83"/>
      <c r="Q114" s="100" t="str">
        <f>IF(OR(ISBLANK(I114),I114="4"),'Bewertung - Assessment'!R114,Titel!H$67)</f>
        <v>D3</v>
      </c>
      <c r="R114" s="100" t="s">
        <v>45</v>
      </c>
    </row>
    <row r="115" spans="1:18" x14ac:dyDescent="0.25">
      <c r="A115" s="110" t="s">
        <v>61</v>
      </c>
      <c r="B115" s="50" t="s">
        <v>289</v>
      </c>
      <c r="C115" s="37" t="s">
        <v>280</v>
      </c>
      <c r="D115" s="88" t="s">
        <v>260</v>
      </c>
      <c r="E115" s="44" t="s">
        <v>30</v>
      </c>
      <c r="F115" s="41"/>
      <c r="G115" s="41" t="s">
        <v>354</v>
      </c>
      <c r="H115" s="35"/>
      <c r="I115" s="44" t="s">
        <v>30</v>
      </c>
      <c r="J115" s="113"/>
      <c r="K115" s="41" t="s">
        <v>461</v>
      </c>
      <c r="L115" s="35"/>
      <c r="M115" s="44"/>
      <c r="N115" s="10"/>
      <c r="O115" s="14"/>
      <c r="P115" s="35"/>
      <c r="Q115" s="100" t="str">
        <f>IF(OR(ISBLANK(I115),I115="4"),'Bewertung - Assessment'!R115,Titel!H$67)</f>
        <v>D4</v>
      </c>
      <c r="R115" s="100" t="s">
        <v>46</v>
      </c>
    </row>
    <row r="116" spans="1:18" x14ac:dyDescent="0.25">
      <c r="A116" s="110" t="s">
        <v>61</v>
      </c>
      <c r="B116" s="50" t="s">
        <v>289</v>
      </c>
      <c r="C116" s="37" t="s">
        <v>281</v>
      </c>
      <c r="D116" s="88" t="s">
        <v>282</v>
      </c>
      <c r="E116" s="44" t="s">
        <v>30</v>
      </c>
      <c r="F116" s="41"/>
      <c r="G116" s="41" t="s">
        <v>354</v>
      </c>
      <c r="H116" s="35"/>
      <c r="I116" s="44" t="s">
        <v>30</v>
      </c>
      <c r="J116" s="113"/>
      <c r="K116" s="41" t="s">
        <v>461</v>
      </c>
      <c r="L116" s="35"/>
      <c r="M116" s="44"/>
      <c r="N116" s="10"/>
      <c r="O116" s="14"/>
      <c r="P116" s="35"/>
      <c r="Q116" s="100" t="str">
        <f>IF(OR(ISBLANK(I116),I116="4"),'Bewertung - Assessment'!R116,Titel!H$67)</f>
        <v>D3</v>
      </c>
      <c r="R116" s="100" t="s">
        <v>45</v>
      </c>
    </row>
    <row r="117" spans="1:18" x14ac:dyDescent="0.25">
      <c r="A117" s="110" t="s">
        <v>61</v>
      </c>
      <c r="B117" s="51" t="s">
        <v>300</v>
      </c>
      <c r="C117" s="92" t="s">
        <v>301</v>
      </c>
      <c r="D117" s="93" t="s">
        <v>302</v>
      </c>
      <c r="E117" s="40"/>
      <c r="F117" s="42"/>
      <c r="G117" s="42"/>
      <c r="H117" s="83"/>
      <c r="I117" s="45"/>
      <c r="J117" s="114"/>
      <c r="K117" s="42"/>
      <c r="L117" s="83"/>
      <c r="M117" s="45"/>
      <c r="N117" s="12"/>
      <c r="O117" s="18"/>
      <c r="P117" s="83"/>
      <c r="Q117" s="101"/>
      <c r="R117" s="5"/>
    </row>
    <row r="118" spans="1:18" ht="60" x14ac:dyDescent="0.25">
      <c r="A118" s="110" t="s">
        <v>61</v>
      </c>
      <c r="B118" s="50" t="s">
        <v>300</v>
      </c>
      <c r="C118" s="37" t="s">
        <v>245</v>
      </c>
      <c r="D118" s="88" t="s">
        <v>246</v>
      </c>
      <c r="E118" s="44" t="s">
        <v>28</v>
      </c>
      <c r="F118" s="41" t="s">
        <v>402</v>
      </c>
      <c r="G118" s="37" t="s">
        <v>411</v>
      </c>
      <c r="H118" s="35"/>
      <c r="I118" s="44" t="s">
        <v>28</v>
      </c>
      <c r="J118" s="41" t="s">
        <v>402</v>
      </c>
      <c r="K118" s="37" t="s">
        <v>411</v>
      </c>
      <c r="L118" s="35"/>
      <c r="M118" s="44"/>
      <c r="N118" s="10"/>
      <c r="O118" s="14"/>
      <c r="P118" s="35"/>
      <c r="Q118" s="100" t="str">
        <f>IF(OR(ISBLANK(I118),I118="4"),'Bewertung - Assessment'!R118,Titel!H$67)</f>
        <v>-</v>
      </c>
      <c r="R118" s="100" t="s">
        <v>44</v>
      </c>
    </row>
    <row r="119" spans="1:18" x14ac:dyDescent="0.25">
      <c r="A119" s="110" t="s">
        <v>61</v>
      </c>
      <c r="B119" s="50" t="s">
        <v>300</v>
      </c>
      <c r="C119" s="37" t="s">
        <v>303</v>
      </c>
      <c r="D119" s="88" t="s">
        <v>304</v>
      </c>
      <c r="E119" s="44" t="s">
        <v>30</v>
      </c>
      <c r="F119" s="41"/>
      <c r="G119" s="41" t="s">
        <v>354</v>
      </c>
      <c r="H119" s="35"/>
      <c r="I119" s="44" t="s">
        <v>30</v>
      </c>
      <c r="J119" s="41"/>
      <c r="K119" s="41" t="s">
        <v>461</v>
      </c>
      <c r="L119" s="35"/>
      <c r="M119" s="44"/>
      <c r="N119" s="10"/>
      <c r="O119" s="14"/>
      <c r="P119" s="35"/>
      <c r="Q119" s="100" t="str">
        <f>IF(OR(ISBLANK(I119),I119="4"),'Bewertung - Assessment'!R119,Titel!H$67)</f>
        <v>D2</v>
      </c>
      <c r="R119" s="100" t="s">
        <v>44</v>
      </c>
    </row>
    <row r="120" spans="1:18" x14ac:dyDescent="0.25">
      <c r="A120" s="110" t="s">
        <v>61</v>
      </c>
      <c r="B120" s="50" t="s">
        <v>300</v>
      </c>
      <c r="C120" s="37" t="s">
        <v>255</v>
      </c>
      <c r="D120" s="88" t="s">
        <v>256</v>
      </c>
      <c r="E120" s="44" t="s">
        <v>30</v>
      </c>
      <c r="F120" s="41"/>
      <c r="G120" s="41" t="s">
        <v>354</v>
      </c>
      <c r="H120" s="35"/>
      <c r="I120" s="44" t="s">
        <v>30</v>
      </c>
      <c r="J120" s="41"/>
      <c r="K120" s="41" t="s">
        <v>461</v>
      </c>
      <c r="L120" s="35"/>
      <c r="M120" s="44"/>
      <c r="N120" s="10"/>
      <c r="O120" s="14"/>
      <c r="P120" s="35"/>
      <c r="Q120" s="100" t="str">
        <f>IF(OR(ISBLANK(I120),I120="4"),'Bewertung - Assessment'!R120,Titel!H$67)</f>
        <v>D3</v>
      </c>
      <c r="R120" s="100" t="s">
        <v>45</v>
      </c>
    </row>
    <row r="121" spans="1:18" x14ac:dyDescent="0.25">
      <c r="A121" s="110" t="s">
        <v>61</v>
      </c>
      <c r="B121" s="50" t="s">
        <v>300</v>
      </c>
      <c r="C121" s="37" t="s">
        <v>298</v>
      </c>
      <c r="D121" s="88" t="s">
        <v>277</v>
      </c>
      <c r="E121" s="44" t="s">
        <v>30</v>
      </c>
      <c r="F121" s="41"/>
      <c r="G121" s="41" t="s">
        <v>354</v>
      </c>
      <c r="H121" s="35"/>
      <c r="I121" s="44" t="s">
        <v>30</v>
      </c>
      <c r="J121" s="41"/>
      <c r="K121" s="41" t="s">
        <v>461</v>
      </c>
      <c r="L121" s="35"/>
      <c r="M121" s="44"/>
      <c r="N121" s="10"/>
      <c r="O121" s="14"/>
      <c r="P121" s="35"/>
      <c r="Q121" s="100" t="str">
        <f>IF(OR(ISBLANK(I121),I121="4"),'Bewertung - Assessment'!R121,Titel!H$67)</f>
        <v>D3</v>
      </c>
      <c r="R121" s="100" t="s">
        <v>45</v>
      </c>
    </row>
    <row r="122" spans="1:18" x14ac:dyDescent="0.25">
      <c r="A122" s="110" t="s">
        <v>61</v>
      </c>
      <c r="B122" s="50" t="s">
        <v>300</v>
      </c>
      <c r="C122" s="37" t="s">
        <v>274</v>
      </c>
      <c r="D122" s="88" t="s">
        <v>275</v>
      </c>
      <c r="E122" s="44" t="s">
        <v>30</v>
      </c>
      <c r="F122" s="41"/>
      <c r="G122" s="41" t="s">
        <v>354</v>
      </c>
      <c r="H122" s="35"/>
      <c r="I122" s="44" t="s">
        <v>30</v>
      </c>
      <c r="J122" s="41"/>
      <c r="K122" s="41" t="s">
        <v>461</v>
      </c>
      <c r="L122" s="35"/>
      <c r="M122" s="44"/>
      <c r="N122" s="10"/>
      <c r="O122" s="14"/>
      <c r="P122" s="35"/>
      <c r="Q122" s="100" t="str">
        <f>IF(OR(ISBLANK(I122),I122="4"),'Bewertung - Assessment'!R122,Titel!H$67)</f>
        <v>D3</v>
      </c>
      <c r="R122" s="100" t="s">
        <v>45</v>
      </c>
    </row>
    <row r="123" spans="1:18" x14ac:dyDescent="0.25">
      <c r="A123" s="110" t="s">
        <v>61</v>
      </c>
      <c r="B123" s="50" t="s">
        <v>300</v>
      </c>
      <c r="C123" s="37" t="s">
        <v>272</v>
      </c>
      <c r="D123" s="88" t="s">
        <v>273</v>
      </c>
      <c r="E123" s="44" t="s">
        <v>30</v>
      </c>
      <c r="F123" s="41"/>
      <c r="G123" s="41" t="s">
        <v>354</v>
      </c>
      <c r="H123" s="35"/>
      <c r="I123" s="44" t="s">
        <v>30</v>
      </c>
      <c r="J123" s="41"/>
      <c r="K123" s="41" t="s">
        <v>461</v>
      </c>
      <c r="L123" s="35"/>
      <c r="M123" s="44"/>
      <c r="N123" s="10"/>
      <c r="O123" s="14"/>
      <c r="P123" s="35"/>
      <c r="Q123" s="100" t="str">
        <f>IF(OR(ISBLANK(I123),I123="4"),'Bewertung - Assessment'!R123,Titel!H$67)</f>
        <v>D3</v>
      </c>
      <c r="R123" s="100" t="s">
        <v>45</v>
      </c>
    </row>
    <row r="124" spans="1:18" x14ac:dyDescent="0.25">
      <c r="A124" s="110" t="s">
        <v>61</v>
      </c>
      <c r="B124" s="50" t="s">
        <v>300</v>
      </c>
      <c r="C124" s="37" t="s">
        <v>280</v>
      </c>
      <c r="D124" s="88" t="s">
        <v>260</v>
      </c>
      <c r="E124" s="44" t="s">
        <v>30</v>
      </c>
      <c r="F124" s="41"/>
      <c r="G124" s="41" t="s">
        <v>354</v>
      </c>
      <c r="H124" s="35"/>
      <c r="I124" s="44" t="s">
        <v>30</v>
      </c>
      <c r="J124" s="41"/>
      <c r="K124" s="41" t="s">
        <v>461</v>
      </c>
      <c r="L124" s="35"/>
      <c r="M124" s="44"/>
      <c r="N124" s="10"/>
      <c r="O124" s="14"/>
      <c r="P124" s="35"/>
      <c r="Q124" s="100" t="str">
        <f>IF(OR(ISBLANK(I124),I124="4"),'Bewertung - Assessment'!R124,Titel!H$67)</f>
        <v>D4</v>
      </c>
      <c r="R124" s="100" t="s">
        <v>46</v>
      </c>
    </row>
    <row r="125" spans="1:18" x14ac:dyDescent="0.25">
      <c r="A125" s="110" t="s">
        <v>61</v>
      </c>
      <c r="B125" s="50" t="s">
        <v>300</v>
      </c>
      <c r="C125" s="37" t="s">
        <v>281</v>
      </c>
      <c r="D125" s="88" t="s">
        <v>282</v>
      </c>
      <c r="E125" s="44" t="s">
        <v>30</v>
      </c>
      <c r="F125" s="41"/>
      <c r="G125" s="41" t="s">
        <v>354</v>
      </c>
      <c r="H125" s="35"/>
      <c r="I125" s="44" t="s">
        <v>30</v>
      </c>
      <c r="J125" s="41"/>
      <c r="K125" s="41" t="s">
        <v>461</v>
      </c>
      <c r="L125" s="35"/>
      <c r="M125" s="44"/>
      <c r="N125" s="10"/>
      <c r="O125" s="14"/>
      <c r="P125" s="35"/>
      <c r="Q125" s="100" t="str">
        <f>IF(OR(ISBLANK(I125),I125="4"),'Bewertung - Assessment'!R125,Titel!H$67)</f>
        <v>D3</v>
      </c>
      <c r="R125" s="100" t="s">
        <v>45</v>
      </c>
    </row>
    <row r="126" spans="1:18" x14ac:dyDescent="0.25">
      <c r="A126" s="110" t="s">
        <v>305</v>
      </c>
      <c r="B126" s="51" t="s">
        <v>306</v>
      </c>
      <c r="C126" s="92" t="s">
        <v>307</v>
      </c>
      <c r="D126" s="93" t="s">
        <v>308</v>
      </c>
      <c r="E126" s="40"/>
      <c r="F126" s="42"/>
      <c r="G126" s="42"/>
      <c r="H126" s="83"/>
      <c r="I126" s="45"/>
      <c r="J126" s="12"/>
      <c r="K126" s="42"/>
      <c r="L126" s="83"/>
      <c r="M126" s="45"/>
      <c r="N126" s="12"/>
      <c r="O126" s="18"/>
      <c r="P126" s="83"/>
      <c r="Q126" s="101"/>
      <c r="R126" s="5"/>
    </row>
    <row r="127" spans="1:18" ht="45" x14ac:dyDescent="0.25">
      <c r="A127" s="110" t="s">
        <v>305</v>
      </c>
      <c r="B127" s="107" t="s">
        <v>309</v>
      </c>
      <c r="C127" s="37" t="s">
        <v>310</v>
      </c>
      <c r="D127" s="88" t="s">
        <v>311</v>
      </c>
      <c r="E127" s="44" t="s">
        <v>30</v>
      </c>
      <c r="F127" s="41"/>
      <c r="G127" s="41" t="s">
        <v>403</v>
      </c>
      <c r="H127" s="35"/>
      <c r="I127" s="44" t="s">
        <v>24</v>
      </c>
      <c r="J127" s="113" t="s">
        <v>483</v>
      </c>
      <c r="K127" s="41"/>
      <c r="L127" s="35"/>
      <c r="M127" s="44"/>
      <c r="N127" s="10"/>
      <c r="O127" s="14"/>
      <c r="P127" s="35"/>
      <c r="Q127" s="100" t="str">
        <f>IF(OR(ISBLANK(I127),I127="4"),'Bewertung - Assessment'!R127,Titel!H$67)</f>
        <v>-</v>
      </c>
      <c r="R127" s="100" t="s">
        <v>45</v>
      </c>
    </row>
    <row r="128" spans="1:18" ht="90" x14ac:dyDescent="0.25">
      <c r="A128" s="110" t="s">
        <v>305</v>
      </c>
      <c r="B128" s="107" t="s">
        <v>312</v>
      </c>
      <c r="C128" s="37" t="s">
        <v>313</v>
      </c>
      <c r="D128" s="88" t="s">
        <v>314</v>
      </c>
      <c r="E128" s="44" t="s">
        <v>30</v>
      </c>
      <c r="F128" s="41"/>
      <c r="G128" s="37" t="s">
        <v>413</v>
      </c>
      <c r="H128" s="35"/>
      <c r="I128" s="44" t="s">
        <v>30</v>
      </c>
      <c r="J128" s="41"/>
      <c r="K128" s="41" t="s">
        <v>461</v>
      </c>
      <c r="L128" s="35"/>
      <c r="M128" s="44"/>
      <c r="N128" s="10"/>
      <c r="O128" s="14"/>
      <c r="P128" s="35"/>
      <c r="Q128" s="100" t="str">
        <f>IF(OR(ISBLANK(I128),I128="4"),'Bewertung - Assessment'!R128,Titel!H$67)</f>
        <v>D4</v>
      </c>
      <c r="R128" s="100" t="s">
        <v>46</v>
      </c>
    </row>
    <row r="129" spans="1:18" ht="30" x14ac:dyDescent="0.25">
      <c r="A129" s="110" t="s">
        <v>305</v>
      </c>
      <c r="B129" s="107" t="s">
        <v>315</v>
      </c>
      <c r="C129" s="37" t="s">
        <v>316</v>
      </c>
      <c r="D129" s="88" t="s">
        <v>317</v>
      </c>
      <c r="E129" s="44" t="s">
        <v>30</v>
      </c>
      <c r="F129" s="41"/>
      <c r="G129" s="41" t="s">
        <v>404</v>
      </c>
      <c r="H129" s="35"/>
      <c r="I129" s="44" t="s">
        <v>30</v>
      </c>
      <c r="J129" s="41"/>
      <c r="K129" s="41" t="s">
        <v>461</v>
      </c>
      <c r="L129" s="35"/>
      <c r="M129" s="44"/>
      <c r="N129" s="10"/>
      <c r="O129" s="14"/>
      <c r="P129" s="35"/>
      <c r="Q129" s="100" t="str">
        <f>IF(OR(ISBLANK(I129),I129="4"),'Bewertung - Assessment'!R129,Titel!H$67)</f>
        <v>D2</v>
      </c>
      <c r="R129" s="100" t="s">
        <v>44</v>
      </c>
    </row>
    <row r="130" spans="1:18" ht="75" x14ac:dyDescent="0.25">
      <c r="A130" s="110" t="s">
        <v>305</v>
      </c>
      <c r="B130" s="107" t="s">
        <v>318</v>
      </c>
      <c r="C130" s="37" t="s">
        <v>319</v>
      </c>
      <c r="D130" s="88" t="s">
        <v>320</v>
      </c>
      <c r="E130" s="44" t="s">
        <v>30</v>
      </c>
      <c r="F130" s="41"/>
      <c r="G130" s="41" t="s">
        <v>354</v>
      </c>
      <c r="H130" s="35"/>
      <c r="I130" s="44" t="s">
        <v>28</v>
      </c>
      <c r="J130" s="41" t="s">
        <v>483</v>
      </c>
      <c r="K130" s="41" t="s">
        <v>484</v>
      </c>
      <c r="L130" s="35"/>
      <c r="M130" s="44"/>
      <c r="N130" s="10"/>
      <c r="O130" s="14"/>
      <c r="P130" s="35"/>
      <c r="Q130" s="100" t="str">
        <f>IF(OR(ISBLANK(I130),I130="4"),'Bewertung - Assessment'!R130,Titel!H$67)</f>
        <v>-</v>
      </c>
      <c r="R130" s="100" t="s">
        <v>44</v>
      </c>
    </row>
    <row r="131" spans="1:18" x14ac:dyDescent="0.25">
      <c r="A131" s="110" t="s">
        <v>68</v>
      </c>
      <c r="B131" s="109" t="s">
        <v>321</v>
      </c>
      <c r="C131" s="90" t="s">
        <v>322</v>
      </c>
      <c r="D131" s="90" t="s">
        <v>323</v>
      </c>
      <c r="E131" s="57"/>
      <c r="F131" s="35"/>
      <c r="G131" s="35"/>
      <c r="H131" s="35"/>
      <c r="I131" s="57"/>
      <c r="J131" s="106"/>
      <c r="K131" s="35"/>
      <c r="L131" s="35"/>
      <c r="M131" s="57"/>
      <c r="N131" s="106"/>
      <c r="O131" s="35"/>
      <c r="P131" s="35"/>
      <c r="Q131" s="106"/>
      <c r="R131" s="106"/>
    </row>
    <row r="132" spans="1:18" x14ac:dyDescent="0.25">
      <c r="A132" s="110" t="s">
        <v>68</v>
      </c>
      <c r="B132" s="51" t="s">
        <v>324</v>
      </c>
      <c r="C132" s="92" t="s">
        <v>231</v>
      </c>
      <c r="D132" s="93" t="s">
        <v>232</v>
      </c>
      <c r="E132" s="40"/>
      <c r="F132" s="40"/>
      <c r="G132" s="40"/>
      <c r="H132" s="35"/>
      <c r="I132" s="45"/>
      <c r="J132" s="12"/>
      <c r="K132" s="40"/>
      <c r="L132" s="35"/>
      <c r="M132" s="45"/>
      <c r="N132" s="12"/>
      <c r="O132" s="13"/>
      <c r="P132" s="35"/>
      <c r="Q132" s="101"/>
      <c r="R132" s="5"/>
    </row>
    <row r="133" spans="1:18" x14ac:dyDescent="0.25">
      <c r="A133" s="110" t="s">
        <v>68</v>
      </c>
      <c r="B133" s="107" t="s">
        <v>324</v>
      </c>
      <c r="C133" s="37" t="s">
        <v>325</v>
      </c>
      <c r="D133" s="88" t="s">
        <v>326</v>
      </c>
      <c r="E133" s="44" t="s">
        <v>24</v>
      </c>
      <c r="F133" s="41" t="s">
        <v>400</v>
      </c>
      <c r="G133" s="37" t="s">
        <v>406</v>
      </c>
      <c r="H133" s="35"/>
      <c r="I133" s="44" t="s">
        <v>24</v>
      </c>
      <c r="J133" s="41" t="s">
        <v>456</v>
      </c>
      <c r="K133" s="37" t="s">
        <v>406</v>
      </c>
      <c r="L133" s="35"/>
      <c r="M133" s="44"/>
      <c r="N133" s="10"/>
      <c r="O133" s="14"/>
      <c r="P133" s="35"/>
      <c r="Q133" s="100" t="str">
        <f>IF(OR(ISBLANK(I133),I133="4"),'Bewertung - Assessment'!R133,Titel!H$67)</f>
        <v>-</v>
      </c>
      <c r="R133" s="100" t="s">
        <v>44</v>
      </c>
    </row>
    <row r="134" spans="1:18" x14ac:dyDescent="0.25">
      <c r="A134" s="110" t="s">
        <v>68</v>
      </c>
      <c r="B134" s="107" t="s">
        <v>324</v>
      </c>
      <c r="C134" s="37" t="s">
        <v>327</v>
      </c>
      <c r="D134" s="88" t="s">
        <v>328</v>
      </c>
      <c r="E134" s="44" t="s">
        <v>30</v>
      </c>
      <c r="F134" s="41"/>
      <c r="G134" s="41" t="s">
        <v>354</v>
      </c>
      <c r="H134" s="35"/>
      <c r="I134" s="44" t="s">
        <v>30</v>
      </c>
      <c r="J134" s="41"/>
      <c r="K134" s="41" t="s">
        <v>464</v>
      </c>
      <c r="L134" s="35"/>
      <c r="M134" s="44"/>
      <c r="N134" s="10"/>
      <c r="O134" s="14"/>
      <c r="P134" s="35"/>
      <c r="Q134" s="100" t="str">
        <f>IF(OR(ISBLANK(I134),I134="4"),'Bewertung - Assessment'!R134,Titel!H$67)</f>
        <v>D2</v>
      </c>
      <c r="R134" s="100" t="s">
        <v>44</v>
      </c>
    </row>
    <row r="135" spans="1:18" x14ac:dyDescent="0.25">
      <c r="A135" s="110" t="s">
        <v>68</v>
      </c>
      <c r="B135" s="107" t="s">
        <v>324</v>
      </c>
      <c r="C135" s="37" t="s">
        <v>240</v>
      </c>
      <c r="D135" s="88" t="s">
        <v>241</v>
      </c>
      <c r="E135" s="44" t="s">
        <v>30</v>
      </c>
      <c r="F135" s="41"/>
      <c r="G135" s="41" t="s">
        <v>354</v>
      </c>
      <c r="H135" s="35"/>
      <c r="I135" s="44" t="s">
        <v>22</v>
      </c>
      <c r="J135" s="41"/>
      <c r="K135" s="41" t="s">
        <v>385</v>
      </c>
      <c r="L135" s="35"/>
      <c r="M135" s="44"/>
      <c r="N135" s="10"/>
      <c r="O135" s="14"/>
      <c r="P135" s="35"/>
      <c r="Q135" s="100" t="str">
        <f>IF(OR(ISBLANK(I135),I135="4"),'Bewertung - Assessment'!R135,Titel!H$67)</f>
        <v>-</v>
      </c>
      <c r="R135" s="100" t="s">
        <v>44</v>
      </c>
    </row>
    <row r="136" spans="1:18" x14ac:dyDescent="0.25">
      <c r="A136" s="110" t="s">
        <v>68</v>
      </c>
      <c r="B136" s="51" t="s">
        <v>329</v>
      </c>
      <c r="C136" s="92" t="s">
        <v>330</v>
      </c>
      <c r="D136" s="93" t="s">
        <v>331</v>
      </c>
      <c r="E136" s="40"/>
      <c r="F136" s="42"/>
      <c r="G136" s="42"/>
      <c r="H136" s="83"/>
      <c r="I136" s="45"/>
      <c r="J136" s="12"/>
      <c r="K136" s="42"/>
      <c r="L136" s="83"/>
      <c r="M136" s="45"/>
      <c r="N136" s="12"/>
      <c r="O136" s="18"/>
      <c r="P136" s="83"/>
      <c r="Q136" s="101"/>
      <c r="R136" s="5"/>
    </row>
    <row r="137" spans="1:18" x14ac:dyDescent="0.25">
      <c r="A137" s="110" t="s">
        <v>68</v>
      </c>
      <c r="B137" s="50" t="s">
        <v>329</v>
      </c>
      <c r="C137" s="37" t="s">
        <v>245</v>
      </c>
      <c r="D137" s="88" t="s">
        <v>246</v>
      </c>
      <c r="E137" s="44" t="s">
        <v>30</v>
      </c>
      <c r="F137" s="41"/>
      <c r="G137" s="41" t="s">
        <v>354</v>
      </c>
      <c r="H137" s="83"/>
      <c r="I137" s="44" t="s">
        <v>24</v>
      </c>
      <c r="J137" s="41" t="s">
        <v>478</v>
      </c>
      <c r="K137" s="37"/>
      <c r="L137" s="83"/>
      <c r="M137" s="44"/>
      <c r="N137" s="10"/>
      <c r="O137" s="16"/>
      <c r="P137" s="83"/>
      <c r="Q137" s="100" t="str">
        <f>IF(OR(ISBLANK(I137),I137="4"),'Bewertung - Assessment'!R137,Titel!H$67)</f>
        <v>-</v>
      </c>
      <c r="R137" s="100" t="s">
        <v>44</v>
      </c>
    </row>
    <row r="138" spans="1:18" x14ac:dyDescent="0.25">
      <c r="A138" s="110" t="s">
        <v>68</v>
      </c>
      <c r="B138" s="50" t="s">
        <v>329</v>
      </c>
      <c r="C138" s="37" t="s">
        <v>264</v>
      </c>
      <c r="D138" s="88" t="s">
        <v>332</v>
      </c>
      <c r="E138" s="44" t="s">
        <v>30</v>
      </c>
      <c r="F138" s="41"/>
      <c r="G138" s="41" t="s">
        <v>354</v>
      </c>
      <c r="H138" s="35"/>
      <c r="I138" s="44" t="s">
        <v>24</v>
      </c>
      <c r="J138" s="41" t="s">
        <v>478</v>
      </c>
      <c r="K138" s="41"/>
      <c r="L138" s="35"/>
      <c r="M138" s="44"/>
      <c r="N138" s="10"/>
      <c r="O138" s="14"/>
      <c r="P138" s="35"/>
      <c r="Q138" s="100" t="str">
        <f>IF(OR(ISBLANK(I138),I138="4"),'Bewertung - Assessment'!R138,Titel!H$67)</f>
        <v>-</v>
      </c>
      <c r="R138" s="100" t="s">
        <v>45</v>
      </c>
    </row>
    <row r="139" spans="1:18" ht="30" x14ac:dyDescent="0.25">
      <c r="A139" s="110" t="s">
        <v>68</v>
      </c>
      <c r="B139" s="50" t="s">
        <v>329</v>
      </c>
      <c r="C139" s="37" t="s">
        <v>333</v>
      </c>
      <c r="D139" s="88" t="s">
        <v>334</v>
      </c>
      <c r="E139" s="44" t="s">
        <v>30</v>
      </c>
      <c r="F139" s="41"/>
      <c r="G139" s="41" t="s">
        <v>354</v>
      </c>
      <c r="H139" s="83"/>
      <c r="I139" s="44" t="s">
        <v>26</v>
      </c>
      <c r="J139" s="41" t="s">
        <v>478</v>
      </c>
      <c r="K139" s="37" t="s">
        <v>486</v>
      </c>
      <c r="L139" s="83"/>
      <c r="M139" s="44"/>
      <c r="N139" s="10"/>
      <c r="O139" s="16"/>
      <c r="P139" s="83"/>
      <c r="Q139" s="100" t="str">
        <f>IF(OR(ISBLANK(I139),I139="4"),'Bewertung - Assessment'!R139,Titel!H$67)</f>
        <v>-</v>
      </c>
      <c r="R139" s="100" t="s">
        <v>45</v>
      </c>
    </row>
    <row r="140" spans="1:18" ht="45" x14ac:dyDescent="0.25">
      <c r="A140" s="110" t="s">
        <v>68</v>
      </c>
      <c r="B140" s="50" t="s">
        <v>329</v>
      </c>
      <c r="C140" s="37" t="s">
        <v>266</v>
      </c>
      <c r="D140" s="88" t="s">
        <v>267</v>
      </c>
      <c r="E140" s="44" t="s">
        <v>30</v>
      </c>
      <c r="F140" s="41"/>
      <c r="G140" s="41" t="s">
        <v>354</v>
      </c>
      <c r="H140" s="83"/>
      <c r="I140" s="44" t="s">
        <v>24</v>
      </c>
      <c r="J140" s="41" t="s">
        <v>502</v>
      </c>
      <c r="K140" s="37" t="s">
        <v>503</v>
      </c>
      <c r="L140" s="83"/>
      <c r="M140" s="44"/>
      <c r="N140" s="10"/>
      <c r="O140" s="16"/>
      <c r="P140" s="83"/>
      <c r="Q140" s="100" t="str">
        <f>IF(OR(ISBLANK(I140),I140="4"),'Bewertung - Assessment'!R140,Titel!H$67)</f>
        <v>-</v>
      </c>
      <c r="R140" s="100" t="s">
        <v>45</v>
      </c>
    </row>
    <row r="141" spans="1:18" x14ac:dyDescent="0.25">
      <c r="A141" s="110" t="s">
        <v>68</v>
      </c>
      <c r="B141" s="50" t="s">
        <v>329</v>
      </c>
      <c r="C141" s="37" t="s">
        <v>335</v>
      </c>
      <c r="D141" s="88" t="s">
        <v>336</v>
      </c>
      <c r="E141" s="44" t="s">
        <v>30</v>
      </c>
      <c r="F141" s="41"/>
      <c r="G141" s="41" t="s">
        <v>354</v>
      </c>
      <c r="H141" s="83"/>
      <c r="I141" s="44" t="s">
        <v>22</v>
      </c>
      <c r="J141" s="41"/>
      <c r="K141" s="37" t="s">
        <v>487</v>
      </c>
      <c r="L141" s="83"/>
      <c r="M141" s="44"/>
      <c r="N141" s="10"/>
      <c r="O141" s="16"/>
      <c r="P141" s="83"/>
      <c r="Q141" s="100" t="str">
        <f>IF(OR(ISBLANK(I141),I141="4"),'Bewertung - Assessment'!R141,Titel!H$67)</f>
        <v>-</v>
      </c>
      <c r="R141" s="100" t="s">
        <v>45</v>
      </c>
    </row>
    <row r="142" spans="1:18" x14ac:dyDescent="0.25">
      <c r="A142" s="110" t="s">
        <v>68</v>
      </c>
      <c r="B142" s="50" t="s">
        <v>329</v>
      </c>
      <c r="C142" s="37" t="s">
        <v>337</v>
      </c>
      <c r="D142" s="88" t="s">
        <v>338</v>
      </c>
      <c r="E142" s="44" t="s">
        <v>30</v>
      </c>
      <c r="F142" s="41"/>
      <c r="G142" s="41" t="s">
        <v>354</v>
      </c>
      <c r="H142" s="83"/>
      <c r="I142" s="44" t="s">
        <v>26</v>
      </c>
      <c r="J142" s="41" t="s">
        <v>478</v>
      </c>
      <c r="K142" s="37" t="s">
        <v>488</v>
      </c>
      <c r="L142" s="83"/>
      <c r="M142" s="44"/>
      <c r="N142" s="10"/>
      <c r="O142" s="16"/>
      <c r="P142" s="83"/>
      <c r="Q142" s="100" t="str">
        <f>IF(OR(ISBLANK(I142),I142="4"),'Bewertung - Assessment'!R142,Titel!H$67)</f>
        <v>-</v>
      </c>
      <c r="R142" s="100" t="s">
        <v>45</v>
      </c>
    </row>
    <row r="143" spans="1:18" x14ac:dyDescent="0.25">
      <c r="A143" s="110" t="s">
        <v>68</v>
      </c>
      <c r="B143" s="50" t="s">
        <v>329</v>
      </c>
      <c r="C143" s="37" t="s">
        <v>339</v>
      </c>
      <c r="D143" s="88" t="s">
        <v>340</v>
      </c>
      <c r="E143" s="44" t="s">
        <v>30</v>
      </c>
      <c r="F143" s="41"/>
      <c r="G143" s="41" t="s">
        <v>354</v>
      </c>
      <c r="H143" s="83"/>
      <c r="I143" s="44" t="s">
        <v>24</v>
      </c>
      <c r="J143" s="41" t="s">
        <v>485</v>
      </c>
      <c r="K143" s="37"/>
      <c r="L143" s="83"/>
      <c r="M143" s="44"/>
      <c r="N143" s="10"/>
      <c r="O143" s="16"/>
      <c r="P143" s="83"/>
      <c r="Q143" s="100" t="str">
        <f>IF(OR(ISBLANK(I143),I143="4"),'Bewertung - Assessment'!R143,Titel!H$67)</f>
        <v>-</v>
      </c>
      <c r="R143" s="100" t="s">
        <v>45</v>
      </c>
    </row>
    <row r="144" spans="1:18" x14ac:dyDescent="0.25">
      <c r="A144" s="110" t="s">
        <v>68</v>
      </c>
      <c r="B144" s="50" t="s">
        <v>329</v>
      </c>
      <c r="C144" s="37" t="s">
        <v>341</v>
      </c>
      <c r="D144" s="88" t="s">
        <v>342</v>
      </c>
      <c r="E144" s="44" t="s">
        <v>30</v>
      </c>
      <c r="F144" s="41"/>
      <c r="G144" s="41" t="s">
        <v>354</v>
      </c>
      <c r="H144" s="83"/>
      <c r="I144" s="44" t="s">
        <v>24</v>
      </c>
      <c r="J144" s="41" t="s">
        <v>478</v>
      </c>
      <c r="K144" s="37"/>
      <c r="L144" s="83"/>
      <c r="M144" s="44"/>
      <c r="N144" s="10"/>
      <c r="O144" s="16"/>
      <c r="P144" s="83"/>
      <c r="Q144" s="100" t="str">
        <f>IF(OR(ISBLANK(I144),I144="4"),'Bewertung - Assessment'!R144,Titel!H$67)</f>
        <v>-</v>
      </c>
      <c r="R144" s="100" t="s">
        <v>45</v>
      </c>
    </row>
    <row r="145" spans="1:18" x14ac:dyDescent="0.25">
      <c r="A145" s="110" t="s">
        <v>68</v>
      </c>
      <c r="B145" s="50" t="s">
        <v>329</v>
      </c>
      <c r="C145" s="37" t="s">
        <v>343</v>
      </c>
      <c r="D145" s="88" t="s">
        <v>344</v>
      </c>
      <c r="E145" s="44" t="s">
        <v>30</v>
      </c>
      <c r="F145" s="41"/>
      <c r="G145" s="41" t="s">
        <v>354</v>
      </c>
      <c r="H145" s="83"/>
      <c r="I145" s="44" t="s">
        <v>30</v>
      </c>
      <c r="J145" s="41" t="s">
        <v>478</v>
      </c>
      <c r="K145" s="37" t="s">
        <v>464</v>
      </c>
      <c r="L145" s="83"/>
      <c r="M145" s="44"/>
      <c r="N145" s="10"/>
      <c r="O145" s="16"/>
      <c r="P145" s="83"/>
      <c r="Q145" s="100" t="str">
        <f>IF(OR(ISBLANK(I145),I145="4"),'Bewertung - Assessment'!R145,Titel!H$67)</f>
        <v>D3</v>
      </c>
      <c r="R145" s="100" t="s">
        <v>45</v>
      </c>
    </row>
    <row r="146" spans="1:18" ht="75" x14ac:dyDescent="0.25">
      <c r="A146" s="110" t="s">
        <v>68</v>
      </c>
      <c r="B146" s="50" t="s">
        <v>329</v>
      </c>
      <c r="C146" s="37" t="s">
        <v>345</v>
      </c>
      <c r="D146" s="88" t="s">
        <v>346</v>
      </c>
      <c r="E146" s="44" t="s">
        <v>30</v>
      </c>
      <c r="F146" s="41"/>
      <c r="G146" s="41" t="s">
        <v>354</v>
      </c>
      <c r="H146" s="83"/>
      <c r="I146" s="44" t="s">
        <v>28</v>
      </c>
      <c r="J146" s="41" t="s">
        <v>478</v>
      </c>
      <c r="K146" s="37" t="s">
        <v>504</v>
      </c>
      <c r="L146" s="83"/>
      <c r="M146" s="44"/>
      <c r="N146" s="10"/>
      <c r="O146" s="16"/>
      <c r="P146" s="83"/>
      <c r="Q146" s="100" t="str">
        <f>IF(OR(ISBLANK(I146),I146="4"),'Bewertung - Assessment'!R146,Titel!H$67)</f>
        <v>-</v>
      </c>
      <c r="R146" s="100" t="s">
        <v>45</v>
      </c>
    </row>
    <row r="147" spans="1:18" x14ac:dyDescent="0.25">
      <c r="A147" s="110" t="s">
        <v>68</v>
      </c>
      <c r="B147" s="50" t="s">
        <v>329</v>
      </c>
      <c r="C147" s="37" t="s">
        <v>280</v>
      </c>
      <c r="D147" s="88" t="s">
        <v>260</v>
      </c>
      <c r="E147" s="44" t="s">
        <v>30</v>
      </c>
      <c r="F147" s="41"/>
      <c r="G147" s="41" t="s">
        <v>354</v>
      </c>
      <c r="H147" s="83"/>
      <c r="I147" s="44" t="s">
        <v>24</v>
      </c>
      <c r="J147" s="41" t="s">
        <v>478</v>
      </c>
      <c r="K147" s="37"/>
      <c r="L147" s="83"/>
      <c r="M147" s="44"/>
      <c r="N147" s="10"/>
      <c r="O147" s="16"/>
      <c r="P147" s="83"/>
      <c r="Q147" s="100" t="str">
        <f>IF(OR(ISBLANK(I147),I147="4"),'Bewertung - Assessment'!R147,Titel!H$67)</f>
        <v>-</v>
      </c>
      <c r="R147" s="100" t="s">
        <v>46</v>
      </c>
    </row>
    <row r="148" spans="1:18" x14ac:dyDescent="0.25">
      <c r="A148" s="110" t="s">
        <v>68</v>
      </c>
      <c r="B148" s="50" t="s">
        <v>329</v>
      </c>
      <c r="C148" s="37" t="s">
        <v>347</v>
      </c>
      <c r="D148" s="88" t="s">
        <v>348</v>
      </c>
      <c r="E148" s="44" t="s">
        <v>30</v>
      </c>
      <c r="F148" s="41"/>
      <c r="G148" s="41" t="s">
        <v>354</v>
      </c>
      <c r="H148" s="83"/>
      <c r="I148" s="44" t="s">
        <v>24</v>
      </c>
      <c r="J148" s="41" t="s">
        <v>429</v>
      </c>
      <c r="K148" s="37"/>
      <c r="L148" s="83"/>
      <c r="M148" s="44"/>
      <c r="N148" s="10"/>
      <c r="O148" s="16"/>
      <c r="P148" s="83"/>
      <c r="Q148" s="100" t="str">
        <f>IF(OR(ISBLANK(I148),I148="4"),'Bewertung - Assessment'!R148,Titel!H$67)</f>
        <v>-</v>
      </c>
      <c r="R148" s="100" t="s">
        <v>45</v>
      </c>
    </row>
    <row r="149" spans="1:18" x14ac:dyDescent="0.25">
      <c r="A149" s="110" t="s">
        <v>68</v>
      </c>
      <c r="B149" s="51" t="s">
        <v>349</v>
      </c>
      <c r="C149" s="92" t="s">
        <v>350</v>
      </c>
      <c r="D149" s="93" t="s">
        <v>351</v>
      </c>
      <c r="E149" s="40"/>
      <c r="F149" s="42"/>
      <c r="G149" s="42"/>
      <c r="H149" s="83"/>
      <c r="I149" s="45"/>
      <c r="J149" s="12"/>
      <c r="K149" s="42"/>
      <c r="L149" s="83"/>
      <c r="M149" s="45"/>
      <c r="N149" s="12"/>
      <c r="O149" s="18"/>
      <c r="P149" s="83"/>
      <c r="Q149" s="101"/>
      <c r="R149" s="5"/>
    </row>
    <row r="150" spans="1:18" x14ac:dyDescent="0.25">
      <c r="A150" s="110" t="s">
        <v>68</v>
      </c>
      <c r="B150" s="50" t="s">
        <v>349</v>
      </c>
      <c r="C150" s="37" t="s">
        <v>245</v>
      </c>
      <c r="D150" s="88" t="s">
        <v>246</v>
      </c>
      <c r="E150" s="44" t="s">
        <v>30</v>
      </c>
      <c r="F150" s="41"/>
      <c r="G150" s="41" t="s">
        <v>354</v>
      </c>
      <c r="H150" s="35"/>
      <c r="I150" s="44" t="s">
        <v>30</v>
      </c>
      <c r="J150" s="41"/>
      <c r="K150" s="41" t="s">
        <v>464</v>
      </c>
      <c r="L150" s="35"/>
      <c r="M150" s="44"/>
      <c r="N150" s="10"/>
      <c r="O150" s="14"/>
      <c r="P150" s="35"/>
      <c r="Q150" s="100" t="str">
        <f>IF(OR(ISBLANK(I150),I150="4"),'Bewertung - Assessment'!R150,Titel!H$67)</f>
        <v>D2</v>
      </c>
      <c r="R150" s="100" t="s">
        <v>44</v>
      </c>
    </row>
    <row r="151" spans="1:18" x14ac:dyDescent="0.25">
      <c r="A151" s="110" t="s">
        <v>68</v>
      </c>
      <c r="B151" s="50" t="s">
        <v>349</v>
      </c>
      <c r="C151" s="37" t="s">
        <v>266</v>
      </c>
      <c r="D151" s="88" t="s">
        <v>267</v>
      </c>
      <c r="E151" s="44" t="s">
        <v>30</v>
      </c>
      <c r="F151" s="41"/>
      <c r="G151" s="41" t="s">
        <v>354</v>
      </c>
      <c r="H151" s="35"/>
      <c r="I151" s="44" t="s">
        <v>30</v>
      </c>
      <c r="J151" s="41"/>
      <c r="K151" s="41" t="s">
        <v>464</v>
      </c>
      <c r="L151" s="35"/>
      <c r="M151" s="44"/>
      <c r="N151" s="10"/>
      <c r="O151" s="14"/>
      <c r="P151" s="35"/>
      <c r="Q151" s="100" t="str">
        <f>IF(OR(ISBLANK(I151),I151="4"),'Bewertung - Assessment'!R151,Titel!H$67)</f>
        <v>D3</v>
      </c>
      <c r="R151" s="100" t="s">
        <v>45</v>
      </c>
    </row>
    <row r="152" spans="1:18" x14ac:dyDescent="0.25">
      <c r="A152" s="110" t="s">
        <v>68</v>
      </c>
      <c r="B152" s="50" t="s">
        <v>349</v>
      </c>
      <c r="C152" s="37" t="s">
        <v>335</v>
      </c>
      <c r="D152" s="88" t="s">
        <v>336</v>
      </c>
      <c r="E152" s="44" t="s">
        <v>30</v>
      </c>
      <c r="F152" s="41"/>
      <c r="G152" s="41" t="s">
        <v>354</v>
      </c>
      <c r="H152" s="35"/>
      <c r="I152" s="44" t="s">
        <v>22</v>
      </c>
      <c r="J152" s="41"/>
      <c r="K152" s="37" t="s">
        <v>487</v>
      </c>
      <c r="L152" s="35"/>
      <c r="M152" s="44"/>
      <c r="N152" s="10"/>
      <c r="O152" s="14"/>
      <c r="P152" s="35"/>
      <c r="Q152" s="100" t="str">
        <f>IF(OR(ISBLANK(I152),I152="4"),'Bewertung - Assessment'!R152,Titel!H$67)</f>
        <v>-</v>
      </c>
      <c r="R152" s="100" t="s">
        <v>45</v>
      </c>
    </row>
    <row r="153" spans="1:18" x14ac:dyDescent="0.25">
      <c r="A153" s="110" t="s">
        <v>68</v>
      </c>
      <c r="B153" s="50" t="s">
        <v>349</v>
      </c>
      <c r="C153" s="37" t="s">
        <v>337</v>
      </c>
      <c r="D153" s="88" t="s">
        <v>338</v>
      </c>
      <c r="E153" s="44" t="s">
        <v>30</v>
      </c>
      <c r="F153" s="41"/>
      <c r="G153" s="41" t="s">
        <v>354</v>
      </c>
      <c r="H153" s="35"/>
      <c r="I153" s="44" t="s">
        <v>30</v>
      </c>
      <c r="J153" s="41"/>
      <c r="K153" s="41" t="s">
        <v>464</v>
      </c>
      <c r="L153" s="35"/>
      <c r="M153" s="44"/>
      <c r="N153" s="10"/>
      <c r="O153" s="14"/>
      <c r="P153" s="35"/>
      <c r="Q153" s="100" t="str">
        <f>IF(OR(ISBLANK(I153),I153="4"),'Bewertung - Assessment'!R153,Titel!H$67)</f>
        <v>D3</v>
      </c>
      <c r="R153" s="100" t="s">
        <v>45</v>
      </c>
    </row>
    <row r="154" spans="1:18" x14ac:dyDescent="0.25">
      <c r="A154" s="110" t="s">
        <v>68</v>
      </c>
      <c r="B154" s="50" t="s">
        <v>349</v>
      </c>
      <c r="C154" s="37" t="s">
        <v>339</v>
      </c>
      <c r="D154" s="88" t="s">
        <v>340</v>
      </c>
      <c r="E154" s="44" t="s">
        <v>30</v>
      </c>
      <c r="F154" s="41"/>
      <c r="G154" s="41" t="s">
        <v>354</v>
      </c>
      <c r="H154" s="35"/>
      <c r="I154" s="44" t="s">
        <v>30</v>
      </c>
      <c r="J154" s="41"/>
      <c r="K154" s="41" t="s">
        <v>464</v>
      </c>
      <c r="L154" s="35"/>
      <c r="M154" s="44"/>
      <c r="N154" s="10"/>
      <c r="O154" s="14"/>
      <c r="P154" s="35"/>
      <c r="Q154" s="100" t="str">
        <f>IF(OR(ISBLANK(I154),I154="4"),'Bewertung - Assessment'!R154,Titel!H$67)</f>
        <v>D3</v>
      </c>
      <c r="R154" s="100" t="s">
        <v>45</v>
      </c>
    </row>
    <row r="155" spans="1:18" x14ac:dyDescent="0.25">
      <c r="A155" s="110" t="s">
        <v>68</v>
      </c>
      <c r="B155" s="50" t="s">
        <v>349</v>
      </c>
      <c r="C155" s="37" t="s">
        <v>341</v>
      </c>
      <c r="D155" s="88" t="s">
        <v>342</v>
      </c>
      <c r="E155" s="44" t="s">
        <v>30</v>
      </c>
      <c r="F155" s="41"/>
      <c r="G155" s="41" t="s">
        <v>354</v>
      </c>
      <c r="H155" s="35"/>
      <c r="I155" s="44" t="s">
        <v>30</v>
      </c>
      <c r="J155" s="41"/>
      <c r="K155" s="41" t="s">
        <v>464</v>
      </c>
      <c r="L155" s="35"/>
      <c r="M155" s="44"/>
      <c r="N155" s="10"/>
      <c r="O155" s="14"/>
      <c r="P155" s="35"/>
      <c r="Q155" s="100" t="str">
        <f>IF(OR(ISBLANK(I155),I155="4"),'Bewertung - Assessment'!R155,Titel!H$67)</f>
        <v>D3</v>
      </c>
      <c r="R155" s="100" t="s">
        <v>45</v>
      </c>
    </row>
    <row r="156" spans="1:18" x14ac:dyDescent="0.25">
      <c r="A156" s="110" t="s">
        <v>68</v>
      </c>
      <c r="B156" s="50" t="s">
        <v>349</v>
      </c>
      <c r="C156" s="37" t="s">
        <v>343</v>
      </c>
      <c r="D156" s="88" t="s">
        <v>344</v>
      </c>
      <c r="E156" s="44" t="s">
        <v>30</v>
      </c>
      <c r="F156" s="41"/>
      <c r="G156" s="41" t="s">
        <v>354</v>
      </c>
      <c r="H156" s="35"/>
      <c r="I156" s="44" t="s">
        <v>30</v>
      </c>
      <c r="J156" s="41"/>
      <c r="K156" s="41" t="s">
        <v>464</v>
      </c>
      <c r="L156" s="35"/>
      <c r="M156" s="44"/>
      <c r="N156" s="10"/>
      <c r="O156" s="14"/>
      <c r="P156" s="35"/>
      <c r="Q156" s="100" t="str">
        <f>IF(OR(ISBLANK(I156),I156="4"),'Bewertung - Assessment'!R156,Titel!H$67)</f>
        <v>D3</v>
      </c>
      <c r="R156" s="100" t="s">
        <v>45</v>
      </c>
    </row>
    <row r="157" spans="1:18" x14ac:dyDescent="0.25">
      <c r="A157" s="110" t="s">
        <v>68</v>
      </c>
      <c r="B157" s="50" t="s">
        <v>349</v>
      </c>
      <c r="C157" s="37" t="s">
        <v>280</v>
      </c>
      <c r="D157" s="88" t="s">
        <v>260</v>
      </c>
      <c r="E157" s="44" t="s">
        <v>30</v>
      </c>
      <c r="F157" s="41"/>
      <c r="G157" s="41" t="s">
        <v>354</v>
      </c>
      <c r="H157" s="35"/>
      <c r="I157" s="44" t="s">
        <v>30</v>
      </c>
      <c r="J157" s="41"/>
      <c r="K157" s="41" t="s">
        <v>464</v>
      </c>
      <c r="L157" s="35"/>
      <c r="M157" s="44"/>
      <c r="N157" s="10"/>
      <c r="O157" s="14"/>
      <c r="P157" s="35"/>
      <c r="Q157" s="100" t="str">
        <f>IF(OR(ISBLANK(I157),I157="4"),'Bewertung - Assessment'!R157,Titel!H$67)</f>
        <v>D4</v>
      </c>
      <c r="R157" s="100" t="s">
        <v>46</v>
      </c>
    </row>
    <row r="158" spans="1:18" x14ac:dyDescent="0.25">
      <c r="A158" s="110" t="s">
        <v>61</v>
      </c>
      <c r="B158" s="56"/>
      <c r="C158" s="90" t="s">
        <v>352</v>
      </c>
      <c r="D158" s="90" t="s">
        <v>353</v>
      </c>
      <c r="E158" s="57"/>
      <c r="F158" s="35"/>
      <c r="G158" s="35"/>
      <c r="H158" s="35"/>
      <c r="I158" s="57"/>
      <c r="J158" s="106"/>
      <c r="K158" s="35"/>
      <c r="L158" s="35"/>
      <c r="M158" s="57"/>
      <c r="N158" s="106"/>
      <c r="O158" s="35"/>
      <c r="P158" s="35"/>
      <c r="Q158" s="106"/>
      <c r="R158" s="106"/>
    </row>
    <row r="159" spans="1:18" x14ac:dyDescent="0.25">
      <c r="B159" s="50"/>
      <c r="C159" s="41"/>
      <c r="D159" s="91"/>
      <c r="E159" s="44"/>
      <c r="F159" s="37"/>
      <c r="G159" s="37"/>
      <c r="H159" s="83"/>
      <c r="I159" s="44"/>
      <c r="J159" s="10"/>
      <c r="K159" s="37"/>
      <c r="L159" s="83"/>
      <c r="M159" s="44"/>
      <c r="N159" s="10"/>
      <c r="O159" s="16"/>
      <c r="P159" s="83"/>
      <c r="Q159" s="4"/>
      <c r="R159" s="4"/>
    </row>
    <row r="160" spans="1:18" x14ac:dyDescent="0.25">
      <c r="B160" s="50"/>
      <c r="C160" s="41"/>
      <c r="D160" s="91"/>
      <c r="E160" s="44"/>
      <c r="F160" s="41"/>
      <c r="G160" s="41"/>
      <c r="H160" s="35"/>
      <c r="I160" s="44"/>
      <c r="J160" s="10"/>
      <c r="K160" s="41"/>
      <c r="L160" s="35"/>
      <c r="M160" s="44"/>
      <c r="N160" s="10"/>
      <c r="O160" s="14"/>
      <c r="P160" s="35"/>
      <c r="Q160" s="4"/>
      <c r="R160" s="4"/>
    </row>
    <row r="161" spans="2:18" x14ac:dyDescent="0.25">
      <c r="B161" s="50"/>
      <c r="C161" s="41"/>
      <c r="D161" s="91"/>
      <c r="E161" s="44"/>
      <c r="F161" s="41"/>
      <c r="G161" s="41"/>
      <c r="H161" s="35"/>
      <c r="I161" s="44"/>
      <c r="J161" s="10"/>
      <c r="K161" s="41"/>
      <c r="L161" s="35"/>
      <c r="M161" s="44"/>
      <c r="N161" s="10"/>
      <c r="O161" s="14"/>
      <c r="P161" s="35"/>
      <c r="Q161" s="4"/>
      <c r="R161" s="4"/>
    </row>
    <row r="162" spans="2:18" x14ac:dyDescent="0.25">
      <c r="B162" s="50"/>
      <c r="C162" s="41"/>
      <c r="D162" s="91"/>
      <c r="E162" s="44"/>
      <c r="F162" s="41"/>
      <c r="G162" s="41"/>
      <c r="H162" s="35"/>
      <c r="I162" s="44"/>
      <c r="J162" s="10"/>
      <c r="K162" s="41"/>
      <c r="L162" s="35"/>
      <c r="M162" s="44"/>
      <c r="N162" s="10"/>
      <c r="O162" s="14"/>
      <c r="P162" s="35"/>
      <c r="Q162" s="4"/>
      <c r="R162" s="4"/>
    </row>
    <row r="163" spans="2:18" x14ac:dyDescent="0.25">
      <c r="B163" s="50"/>
      <c r="C163" s="41"/>
      <c r="D163" s="91"/>
      <c r="E163" s="44"/>
      <c r="F163" s="41"/>
      <c r="G163" s="41"/>
      <c r="H163" s="35"/>
      <c r="I163" s="44"/>
      <c r="J163" s="10"/>
      <c r="K163" s="41"/>
      <c r="L163" s="35"/>
      <c r="M163" s="44"/>
      <c r="N163" s="10"/>
      <c r="O163" s="14"/>
      <c r="P163" s="35"/>
      <c r="Q163" s="4"/>
      <c r="R163" s="4"/>
    </row>
    <row r="164" spans="2:18" x14ac:dyDescent="0.25">
      <c r="B164" s="50"/>
      <c r="C164" s="41"/>
      <c r="D164" s="91"/>
      <c r="E164" s="44"/>
      <c r="F164" s="41"/>
      <c r="G164" s="41"/>
      <c r="H164" s="35"/>
      <c r="I164" s="44"/>
      <c r="J164" s="10"/>
      <c r="K164" s="41"/>
      <c r="L164" s="35"/>
      <c r="M164" s="44"/>
      <c r="N164" s="10"/>
      <c r="O164" s="14"/>
      <c r="P164" s="35"/>
      <c r="Q164" s="4"/>
      <c r="R164" s="4"/>
    </row>
    <row r="165" spans="2:18" x14ac:dyDescent="0.25">
      <c r="B165" s="50"/>
      <c r="C165" s="41"/>
      <c r="D165" s="91"/>
      <c r="E165" s="44"/>
      <c r="F165" s="41"/>
      <c r="G165" s="41"/>
      <c r="H165" s="35"/>
      <c r="I165" s="44"/>
      <c r="J165" s="10"/>
      <c r="K165" s="41"/>
      <c r="L165" s="35"/>
      <c r="M165" s="44"/>
      <c r="N165" s="10"/>
      <c r="O165" s="14"/>
      <c r="P165" s="35"/>
      <c r="Q165" s="4"/>
      <c r="R165" s="4"/>
    </row>
    <row r="166" spans="2:18" ht="15.75" thickBot="1" x14ac:dyDescent="0.3">
      <c r="B166" s="62"/>
      <c r="C166" s="65"/>
      <c r="D166" s="65"/>
      <c r="E166" s="63"/>
      <c r="F166" s="65"/>
      <c r="G166" s="65"/>
      <c r="H166" s="65"/>
      <c r="I166" s="63"/>
      <c r="J166" s="64"/>
      <c r="K166" s="65"/>
      <c r="L166" s="65"/>
      <c r="M166" s="63"/>
      <c r="N166" s="64"/>
      <c r="O166" s="65"/>
      <c r="P166" s="65"/>
      <c r="Q166" s="64"/>
      <c r="R166" s="64"/>
    </row>
    <row r="167" spans="2:18" x14ac:dyDescent="0.25">
      <c r="E167" s="54"/>
      <c r="F167" s="55"/>
      <c r="G167" s="55"/>
      <c r="H167" s="55"/>
      <c r="I167" s="54"/>
      <c r="K167" s="55"/>
      <c r="L167" s="55"/>
      <c r="M167" s="54"/>
      <c r="O167" s="55"/>
      <c r="P167" s="55"/>
    </row>
    <row r="168" spans="2:18" x14ac:dyDescent="0.25">
      <c r="E168" s="54"/>
      <c r="F168" s="55"/>
      <c r="G168" s="55"/>
      <c r="H168" s="55"/>
      <c r="I168" s="54"/>
      <c r="K168" s="55"/>
      <c r="L168" s="55"/>
      <c r="M168" s="54"/>
      <c r="O168" s="55"/>
      <c r="P168" s="55"/>
    </row>
    <row r="169" spans="2:18" x14ac:dyDescent="0.25">
      <c r="E169" s="54"/>
      <c r="F169" s="55"/>
      <c r="G169" s="55"/>
      <c r="H169" s="55"/>
      <c r="I169" s="54"/>
      <c r="K169" s="55"/>
      <c r="L169" s="55"/>
      <c r="M169" s="54"/>
      <c r="O169" s="55"/>
      <c r="P169" s="55"/>
    </row>
    <row r="170" spans="2:18" x14ac:dyDescent="0.25">
      <c r="E170" s="54"/>
      <c r="F170" s="55"/>
      <c r="G170" s="55"/>
      <c r="H170" s="55"/>
      <c r="I170" s="54"/>
      <c r="K170" s="55"/>
      <c r="L170" s="55"/>
      <c r="M170" s="54"/>
      <c r="O170" s="55"/>
      <c r="P170" s="55"/>
    </row>
    <row r="171" spans="2:18" x14ac:dyDescent="0.25">
      <c r="E171" s="54"/>
      <c r="F171" s="55"/>
      <c r="G171" s="55"/>
      <c r="H171" s="55"/>
      <c r="I171" s="54"/>
      <c r="K171" s="55"/>
      <c r="L171" s="55"/>
      <c r="M171" s="54"/>
      <c r="O171" s="55"/>
      <c r="P171" s="55"/>
    </row>
    <row r="172" spans="2:18" x14ac:dyDescent="0.25">
      <c r="E172" s="54"/>
      <c r="F172" s="55"/>
      <c r="G172" s="55"/>
      <c r="H172" s="55"/>
      <c r="I172" s="54"/>
      <c r="K172" s="55"/>
      <c r="L172" s="55"/>
      <c r="M172" s="54"/>
      <c r="O172" s="55"/>
      <c r="P172" s="55"/>
    </row>
    <row r="173" spans="2:18" x14ac:dyDescent="0.25">
      <c r="E173" s="54"/>
      <c r="F173" s="55"/>
      <c r="G173" s="55"/>
      <c r="H173" s="55"/>
      <c r="I173" s="54"/>
      <c r="K173" s="55"/>
      <c r="L173" s="55"/>
      <c r="M173" s="54"/>
      <c r="O173" s="55"/>
      <c r="P173" s="55"/>
    </row>
    <row r="174" spans="2:18" x14ac:dyDescent="0.25">
      <c r="E174" s="54"/>
      <c r="F174" s="55"/>
      <c r="G174" s="55"/>
      <c r="H174" s="55"/>
      <c r="I174" s="54"/>
      <c r="K174" s="55"/>
      <c r="L174" s="55"/>
      <c r="M174" s="54"/>
      <c r="O174" s="55"/>
      <c r="P174" s="55"/>
    </row>
    <row r="175" spans="2:18" x14ac:dyDescent="0.25">
      <c r="E175" s="54"/>
      <c r="F175" s="55"/>
      <c r="G175" s="55"/>
      <c r="H175" s="55"/>
      <c r="I175" s="54"/>
      <c r="K175" s="55"/>
      <c r="L175" s="55"/>
      <c r="M175" s="54"/>
      <c r="O175" s="55"/>
      <c r="P175" s="55"/>
    </row>
    <row r="176" spans="2:18" x14ac:dyDescent="0.25">
      <c r="E176" s="54"/>
      <c r="F176" s="55"/>
      <c r="G176" s="55"/>
      <c r="H176" s="55"/>
      <c r="I176" s="54"/>
      <c r="K176" s="55"/>
      <c r="L176" s="55"/>
      <c r="M176" s="54"/>
      <c r="O176" s="55"/>
      <c r="P176" s="55"/>
    </row>
    <row r="177" spans="5:16" x14ac:dyDescent="0.25">
      <c r="E177" s="54"/>
      <c r="F177" s="55"/>
      <c r="G177" s="55"/>
      <c r="H177" s="55"/>
      <c r="I177" s="54"/>
      <c r="K177" s="55"/>
      <c r="L177" s="55"/>
      <c r="M177" s="54"/>
      <c r="O177" s="55"/>
      <c r="P177" s="55"/>
    </row>
    <row r="178" spans="5:16" x14ac:dyDescent="0.25">
      <c r="E178" s="54"/>
      <c r="F178" s="55"/>
      <c r="G178" s="55"/>
      <c r="H178" s="55"/>
      <c r="I178" s="54"/>
      <c r="K178" s="55"/>
      <c r="L178" s="55"/>
      <c r="M178" s="54"/>
      <c r="O178" s="55"/>
      <c r="P178" s="55"/>
    </row>
    <row r="179" spans="5:16" x14ac:dyDescent="0.25">
      <c r="E179" s="54"/>
      <c r="F179" s="55"/>
      <c r="G179" s="55"/>
      <c r="H179" s="55"/>
      <c r="I179" s="54"/>
      <c r="K179" s="55"/>
      <c r="L179" s="55"/>
      <c r="M179" s="54"/>
      <c r="O179" s="55"/>
      <c r="P179" s="55"/>
    </row>
    <row r="180" spans="5:16" x14ac:dyDescent="0.25">
      <c r="E180" s="54"/>
      <c r="F180" s="55"/>
      <c r="G180" s="55"/>
      <c r="H180" s="55"/>
      <c r="I180" s="54"/>
      <c r="K180" s="55"/>
      <c r="L180" s="55"/>
      <c r="M180" s="54"/>
      <c r="O180" s="55"/>
      <c r="P180" s="55"/>
    </row>
    <row r="181" spans="5:16" x14ac:dyDescent="0.25">
      <c r="E181" s="54"/>
      <c r="F181" s="55"/>
      <c r="G181" s="55"/>
      <c r="H181" s="55"/>
      <c r="I181" s="54"/>
      <c r="K181" s="55"/>
      <c r="L181" s="55"/>
      <c r="M181" s="54"/>
      <c r="O181" s="55"/>
      <c r="P181" s="55"/>
    </row>
    <row r="182" spans="5:16" x14ac:dyDescent="0.25">
      <c r="E182" s="54"/>
      <c r="F182" s="55"/>
      <c r="G182" s="55"/>
      <c r="H182" s="55"/>
      <c r="I182" s="54"/>
      <c r="K182" s="55"/>
      <c r="L182" s="55"/>
      <c r="M182" s="54"/>
      <c r="O182" s="55"/>
      <c r="P182" s="55"/>
    </row>
    <row r="183" spans="5:16" x14ac:dyDescent="0.25">
      <c r="E183" s="54"/>
      <c r="F183" s="55"/>
      <c r="G183" s="55"/>
      <c r="H183" s="55"/>
      <c r="I183" s="54"/>
      <c r="K183" s="55"/>
      <c r="L183" s="55"/>
      <c r="M183" s="54"/>
      <c r="O183" s="55"/>
      <c r="P183" s="55"/>
    </row>
    <row r="184" spans="5:16" x14ac:dyDescent="0.25">
      <c r="E184" s="54"/>
      <c r="F184" s="55"/>
      <c r="G184" s="55"/>
      <c r="H184" s="55"/>
      <c r="I184" s="54"/>
      <c r="K184" s="55"/>
      <c r="L184" s="55"/>
      <c r="M184" s="54"/>
      <c r="O184" s="55"/>
      <c r="P184" s="55"/>
    </row>
    <row r="185" spans="5:16" x14ac:dyDescent="0.25">
      <c r="E185" s="54"/>
      <c r="F185" s="55"/>
      <c r="G185" s="55"/>
      <c r="H185" s="55"/>
      <c r="I185" s="54"/>
      <c r="K185" s="55"/>
      <c r="L185" s="55"/>
      <c r="M185" s="54"/>
      <c r="O185" s="55"/>
      <c r="P185" s="55"/>
    </row>
    <row r="186" spans="5:16" x14ac:dyDescent="0.25">
      <c r="E186" s="54"/>
      <c r="F186" s="55"/>
      <c r="G186" s="55"/>
      <c r="H186" s="55"/>
      <c r="I186" s="54"/>
      <c r="K186" s="55"/>
      <c r="L186" s="55"/>
      <c r="M186" s="54"/>
      <c r="O186" s="55"/>
      <c r="P186" s="55"/>
    </row>
    <row r="187" spans="5:16" x14ac:dyDescent="0.25">
      <c r="E187" s="54"/>
      <c r="F187" s="55"/>
      <c r="G187" s="55"/>
      <c r="H187" s="55"/>
      <c r="I187" s="54"/>
      <c r="K187" s="55"/>
      <c r="L187" s="55"/>
      <c r="M187" s="54"/>
      <c r="O187" s="55"/>
      <c r="P187" s="55"/>
    </row>
    <row r="188" spans="5:16" x14ac:dyDescent="0.25">
      <c r="E188" s="54"/>
      <c r="F188" s="55"/>
      <c r="G188" s="55"/>
      <c r="H188" s="55"/>
      <c r="I188" s="54"/>
      <c r="K188" s="55"/>
      <c r="L188" s="55"/>
      <c r="M188" s="54"/>
      <c r="O188" s="55"/>
      <c r="P188" s="55"/>
    </row>
    <row r="189" spans="5:16" x14ac:dyDescent="0.25">
      <c r="E189" s="54"/>
      <c r="F189" s="55"/>
      <c r="G189" s="55"/>
      <c r="H189" s="55"/>
      <c r="I189" s="54"/>
      <c r="K189" s="55"/>
      <c r="L189" s="55"/>
      <c r="M189" s="54"/>
      <c r="O189" s="55"/>
      <c r="P189" s="55"/>
    </row>
    <row r="190" spans="5:16" x14ac:dyDescent="0.25">
      <c r="E190" s="54"/>
      <c r="F190" s="55"/>
      <c r="G190" s="55"/>
      <c r="H190" s="55"/>
      <c r="I190" s="54"/>
      <c r="K190" s="55"/>
      <c r="L190" s="55"/>
      <c r="M190" s="54"/>
      <c r="O190" s="55"/>
      <c r="P190" s="55"/>
    </row>
    <row r="191" spans="5:16" x14ac:dyDescent="0.25">
      <c r="E191" s="54"/>
      <c r="F191" s="55"/>
      <c r="G191" s="55"/>
      <c r="H191" s="55"/>
      <c r="I191" s="54"/>
      <c r="K191" s="55"/>
      <c r="L191" s="55"/>
      <c r="M191" s="54"/>
      <c r="O191" s="55"/>
      <c r="P191" s="55"/>
    </row>
    <row r="192" spans="5:16" x14ac:dyDescent="0.25">
      <c r="E192" s="54"/>
      <c r="F192" s="55"/>
      <c r="G192" s="55"/>
      <c r="H192" s="55"/>
      <c r="I192" s="54"/>
      <c r="K192" s="55"/>
      <c r="L192" s="55"/>
      <c r="M192" s="54"/>
      <c r="O192" s="55"/>
      <c r="P192" s="55"/>
    </row>
    <row r="193" spans="5:16" x14ac:dyDescent="0.25">
      <c r="E193" s="54"/>
      <c r="F193" s="55"/>
      <c r="G193" s="55"/>
      <c r="H193" s="55"/>
      <c r="I193" s="54"/>
      <c r="K193" s="55"/>
      <c r="L193" s="55"/>
      <c r="M193" s="54"/>
      <c r="O193" s="55"/>
      <c r="P193" s="55"/>
    </row>
    <row r="194" spans="5:16" x14ac:dyDescent="0.25">
      <c r="E194" s="54"/>
      <c r="F194" s="55"/>
      <c r="G194" s="55"/>
      <c r="H194" s="55"/>
      <c r="I194" s="54"/>
      <c r="K194" s="55"/>
      <c r="L194" s="55"/>
      <c r="M194" s="54"/>
      <c r="O194" s="55"/>
      <c r="P194" s="55"/>
    </row>
    <row r="195" spans="5:16" x14ac:dyDescent="0.25">
      <c r="E195" s="54"/>
      <c r="F195" s="55"/>
      <c r="G195" s="55"/>
      <c r="H195" s="55"/>
      <c r="I195" s="54"/>
      <c r="K195" s="55"/>
      <c r="L195" s="55"/>
      <c r="M195" s="54"/>
      <c r="O195" s="55"/>
      <c r="P195" s="55"/>
    </row>
    <row r="196" spans="5:16" x14ac:dyDescent="0.25">
      <c r="E196" s="54"/>
      <c r="F196" s="55"/>
      <c r="G196" s="55"/>
      <c r="H196" s="55"/>
      <c r="I196" s="54"/>
      <c r="K196" s="55"/>
      <c r="L196" s="55"/>
      <c r="M196" s="54"/>
      <c r="O196" s="55"/>
      <c r="P196" s="55"/>
    </row>
    <row r="197" spans="5:16" x14ac:dyDescent="0.25">
      <c r="E197" s="54"/>
      <c r="F197" s="55"/>
      <c r="G197" s="55"/>
      <c r="H197" s="55"/>
      <c r="I197" s="54"/>
      <c r="K197" s="55"/>
      <c r="L197" s="55"/>
      <c r="M197" s="54"/>
      <c r="O197" s="55"/>
      <c r="P197" s="55"/>
    </row>
    <row r="198" spans="5:16" x14ac:dyDescent="0.25">
      <c r="E198" s="54"/>
      <c r="F198" s="55"/>
      <c r="G198" s="55"/>
      <c r="H198" s="55"/>
      <c r="I198" s="54"/>
      <c r="K198" s="55"/>
      <c r="L198" s="55"/>
      <c r="M198" s="54"/>
      <c r="O198" s="55"/>
      <c r="P198" s="55"/>
    </row>
    <row r="199" spans="5:16" x14ac:dyDescent="0.25">
      <c r="E199" s="54"/>
      <c r="F199" s="55"/>
      <c r="G199" s="55"/>
      <c r="H199" s="55"/>
      <c r="I199" s="54"/>
      <c r="K199" s="55"/>
      <c r="L199" s="55"/>
      <c r="M199" s="54"/>
      <c r="O199" s="55"/>
      <c r="P199" s="55"/>
    </row>
    <row r="200" spans="5:16" x14ac:dyDescent="0.25">
      <c r="E200" s="54"/>
      <c r="F200" s="55"/>
      <c r="G200" s="55"/>
      <c r="H200" s="55"/>
      <c r="I200" s="54"/>
      <c r="K200" s="55"/>
      <c r="L200" s="55"/>
      <c r="M200" s="54"/>
      <c r="O200" s="55"/>
      <c r="P200" s="55"/>
    </row>
    <row r="201" spans="5:16" x14ac:dyDescent="0.25">
      <c r="E201" s="54"/>
      <c r="F201" s="55"/>
      <c r="G201" s="55"/>
      <c r="H201" s="55"/>
      <c r="I201" s="54"/>
      <c r="K201" s="55"/>
      <c r="L201" s="55"/>
      <c r="M201" s="54"/>
      <c r="O201" s="55"/>
      <c r="P201" s="55"/>
    </row>
    <row r="202" spans="5:16" x14ac:dyDescent="0.25">
      <c r="E202" s="54"/>
      <c r="F202" s="55"/>
      <c r="G202" s="55"/>
      <c r="H202" s="55"/>
      <c r="I202" s="54"/>
      <c r="K202" s="55"/>
      <c r="L202" s="55"/>
      <c r="M202" s="54"/>
      <c r="O202" s="55"/>
      <c r="P202" s="55"/>
    </row>
    <row r="203" spans="5:16" x14ac:dyDescent="0.25">
      <c r="E203" s="54"/>
      <c r="F203" s="55"/>
      <c r="G203" s="55"/>
      <c r="H203" s="55"/>
      <c r="I203" s="54"/>
      <c r="K203" s="55"/>
      <c r="L203" s="55"/>
      <c r="M203" s="54"/>
      <c r="O203" s="55"/>
      <c r="P203" s="55"/>
    </row>
    <row r="204" spans="5:16" x14ac:dyDescent="0.25">
      <c r="E204" s="54"/>
      <c r="F204" s="55"/>
      <c r="G204" s="55"/>
      <c r="H204" s="55"/>
      <c r="I204" s="54"/>
      <c r="K204" s="55"/>
      <c r="L204" s="55"/>
      <c r="M204" s="54"/>
      <c r="O204" s="55"/>
      <c r="P204" s="55"/>
    </row>
    <row r="205" spans="5:16" x14ac:dyDescent="0.25">
      <c r="E205" s="54"/>
      <c r="F205" s="55"/>
      <c r="G205" s="55"/>
      <c r="H205" s="55"/>
      <c r="I205" s="54"/>
      <c r="K205" s="55"/>
      <c r="L205" s="55"/>
      <c r="M205" s="54"/>
      <c r="O205" s="55"/>
      <c r="P205" s="55"/>
    </row>
    <row r="206" spans="5:16" x14ac:dyDescent="0.25">
      <c r="E206" s="54"/>
      <c r="F206" s="55"/>
      <c r="G206" s="55"/>
      <c r="H206" s="55"/>
      <c r="I206" s="54"/>
      <c r="K206" s="55"/>
      <c r="L206" s="55"/>
      <c r="M206" s="54"/>
      <c r="O206" s="55"/>
      <c r="P206" s="55"/>
    </row>
    <row r="207" spans="5:16" x14ac:dyDescent="0.25">
      <c r="E207" s="54"/>
      <c r="F207" s="55"/>
      <c r="G207" s="55"/>
      <c r="H207" s="55"/>
      <c r="I207" s="54"/>
      <c r="K207" s="55"/>
      <c r="L207" s="55"/>
      <c r="M207" s="54"/>
      <c r="O207" s="55"/>
      <c r="P207" s="55"/>
    </row>
    <row r="208" spans="5:16" x14ac:dyDescent="0.25">
      <c r="E208" s="54"/>
      <c r="F208" s="55"/>
      <c r="G208" s="55"/>
      <c r="H208" s="55"/>
      <c r="I208" s="54"/>
      <c r="K208" s="55"/>
      <c r="L208" s="55"/>
      <c r="M208" s="54"/>
      <c r="O208" s="55"/>
      <c r="P208" s="55"/>
    </row>
    <row r="209" spans="5:16" x14ac:dyDescent="0.25">
      <c r="E209" s="54"/>
      <c r="F209" s="55"/>
      <c r="G209" s="55"/>
      <c r="H209" s="55"/>
      <c r="I209" s="54"/>
      <c r="K209" s="55"/>
      <c r="L209" s="55"/>
      <c r="M209" s="54"/>
      <c r="O209" s="55"/>
      <c r="P209" s="55"/>
    </row>
    <row r="210" spans="5:16" x14ac:dyDescent="0.25">
      <c r="E210" s="54"/>
      <c r="F210" s="55"/>
      <c r="G210" s="55"/>
      <c r="H210" s="55"/>
      <c r="I210" s="54"/>
      <c r="K210" s="55"/>
      <c r="L210" s="55"/>
      <c r="M210" s="54"/>
      <c r="O210" s="55"/>
      <c r="P210" s="55"/>
    </row>
    <row r="211" spans="5:16" x14ac:dyDescent="0.25">
      <c r="E211" s="54"/>
      <c r="F211" s="55"/>
      <c r="G211" s="55"/>
      <c r="H211" s="55"/>
      <c r="I211" s="54"/>
      <c r="K211" s="55"/>
      <c r="L211" s="55"/>
      <c r="M211" s="54"/>
      <c r="O211" s="55"/>
      <c r="P211" s="55"/>
    </row>
    <row r="212" spans="5:16" x14ac:dyDescent="0.25">
      <c r="E212" s="54"/>
      <c r="F212" s="55"/>
      <c r="G212" s="55"/>
      <c r="H212" s="55"/>
      <c r="I212" s="54"/>
      <c r="K212" s="55"/>
      <c r="L212" s="55"/>
      <c r="M212" s="54"/>
      <c r="O212" s="55"/>
      <c r="P212" s="55"/>
    </row>
    <row r="213" spans="5:16" x14ac:dyDescent="0.25">
      <c r="E213" s="54"/>
      <c r="F213" s="55"/>
      <c r="G213" s="55"/>
      <c r="H213" s="55"/>
      <c r="I213" s="54"/>
      <c r="K213" s="55"/>
      <c r="L213" s="55"/>
      <c r="M213" s="54"/>
      <c r="O213" s="55"/>
      <c r="P213" s="55"/>
    </row>
    <row r="214" spans="5:16" x14ac:dyDescent="0.25">
      <c r="E214" s="54"/>
      <c r="F214" s="55"/>
      <c r="G214" s="55"/>
      <c r="H214" s="55"/>
      <c r="I214" s="54"/>
      <c r="K214" s="55"/>
      <c r="L214" s="55"/>
      <c r="M214" s="54"/>
      <c r="O214" s="55"/>
      <c r="P214" s="55"/>
    </row>
    <row r="215" spans="5:16" x14ac:dyDescent="0.25">
      <c r="E215" s="54"/>
      <c r="F215" s="55"/>
      <c r="G215" s="55"/>
      <c r="H215" s="55"/>
      <c r="I215" s="54"/>
      <c r="K215" s="55"/>
      <c r="L215" s="55"/>
      <c r="M215" s="54"/>
      <c r="O215" s="55"/>
      <c r="P215" s="55"/>
    </row>
    <row r="216" spans="5:16" x14ac:dyDescent="0.25">
      <c r="E216" s="54"/>
      <c r="F216" s="55"/>
      <c r="G216" s="55"/>
      <c r="H216" s="55"/>
      <c r="I216" s="54"/>
      <c r="K216" s="55"/>
      <c r="L216" s="55"/>
      <c r="M216" s="54"/>
      <c r="O216" s="55"/>
      <c r="P216" s="55"/>
    </row>
    <row r="217" spans="5:16" x14ac:dyDescent="0.25">
      <c r="E217" s="54"/>
      <c r="F217" s="55"/>
      <c r="G217" s="55"/>
      <c r="H217" s="55"/>
      <c r="I217" s="54"/>
      <c r="K217" s="55"/>
      <c r="L217" s="55"/>
      <c r="M217" s="54"/>
      <c r="O217" s="55"/>
      <c r="P217" s="55"/>
    </row>
    <row r="218" spans="5:16" x14ac:dyDescent="0.25">
      <c r="E218" s="54"/>
      <c r="F218" s="55"/>
      <c r="G218" s="55"/>
      <c r="H218" s="55"/>
      <c r="I218" s="54"/>
      <c r="K218" s="55"/>
      <c r="L218" s="55"/>
      <c r="M218" s="54"/>
      <c r="O218" s="55"/>
      <c r="P218" s="55"/>
    </row>
    <row r="219" spans="5:16" x14ac:dyDescent="0.25">
      <c r="E219" s="54"/>
      <c r="F219" s="55"/>
      <c r="G219" s="55"/>
      <c r="H219" s="55"/>
      <c r="I219" s="54"/>
      <c r="K219" s="55"/>
      <c r="L219" s="55"/>
      <c r="M219" s="54"/>
      <c r="O219" s="55"/>
      <c r="P219" s="55"/>
    </row>
    <row r="220" spans="5:16" x14ac:dyDescent="0.25">
      <c r="E220" s="54"/>
      <c r="F220" s="55"/>
      <c r="G220" s="55"/>
      <c r="H220" s="55"/>
      <c r="I220" s="54"/>
      <c r="K220" s="55"/>
      <c r="L220" s="55"/>
      <c r="M220" s="54"/>
      <c r="O220" s="55"/>
      <c r="P220" s="55"/>
    </row>
    <row r="221" spans="5:16" x14ac:dyDescent="0.25">
      <c r="E221" s="54"/>
      <c r="F221" s="55"/>
      <c r="G221" s="55"/>
      <c r="H221" s="55"/>
      <c r="I221" s="54"/>
      <c r="K221" s="55"/>
      <c r="L221" s="55"/>
      <c r="M221" s="54"/>
      <c r="O221" s="55"/>
      <c r="P221" s="55"/>
    </row>
    <row r="222" spans="5:16" x14ac:dyDescent="0.25">
      <c r="E222" s="54"/>
      <c r="F222" s="55"/>
      <c r="G222" s="55"/>
      <c r="H222" s="55"/>
      <c r="I222" s="54"/>
      <c r="K222" s="55"/>
      <c r="L222" s="55"/>
      <c r="M222" s="54"/>
      <c r="O222" s="55"/>
      <c r="P222" s="55"/>
    </row>
    <row r="223" spans="5:16" x14ac:dyDescent="0.25">
      <c r="E223" s="54"/>
      <c r="F223" s="55"/>
      <c r="G223" s="55"/>
      <c r="H223" s="55"/>
      <c r="I223" s="54"/>
      <c r="K223" s="55"/>
      <c r="L223" s="55"/>
      <c r="M223" s="54"/>
      <c r="O223" s="55"/>
      <c r="P223" s="55"/>
    </row>
    <row r="224" spans="5:16" x14ac:dyDescent="0.25">
      <c r="E224" s="54"/>
      <c r="F224" s="55"/>
      <c r="G224" s="55"/>
      <c r="H224" s="55"/>
      <c r="I224" s="54"/>
      <c r="K224" s="55"/>
      <c r="L224" s="55"/>
      <c r="M224" s="54"/>
      <c r="O224" s="55"/>
      <c r="P224" s="55"/>
    </row>
    <row r="225" spans="5:16" x14ac:dyDescent="0.25">
      <c r="E225" s="54"/>
      <c r="F225" s="55"/>
      <c r="G225" s="55"/>
      <c r="H225" s="55"/>
      <c r="I225" s="54"/>
      <c r="K225" s="55"/>
      <c r="L225" s="55"/>
      <c r="M225" s="54"/>
      <c r="O225" s="55"/>
      <c r="P225" s="55"/>
    </row>
    <row r="226" spans="5:16" x14ac:dyDescent="0.25">
      <c r="E226" s="54"/>
      <c r="F226" s="55"/>
      <c r="G226" s="55"/>
      <c r="H226" s="55"/>
      <c r="I226" s="54"/>
      <c r="K226" s="55"/>
      <c r="L226" s="55"/>
      <c r="M226" s="54"/>
      <c r="O226" s="55"/>
      <c r="P226" s="55"/>
    </row>
    <row r="227" spans="5:16" x14ac:dyDescent="0.25">
      <c r="E227" s="54"/>
      <c r="F227" s="55"/>
      <c r="G227" s="55"/>
      <c r="H227" s="55"/>
      <c r="I227" s="54"/>
      <c r="K227" s="55"/>
      <c r="L227" s="55"/>
      <c r="M227" s="54"/>
      <c r="O227" s="55"/>
      <c r="P227" s="55"/>
    </row>
    <row r="228" spans="5:16" x14ac:dyDescent="0.25">
      <c r="E228" s="54"/>
      <c r="F228" s="55"/>
      <c r="G228" s="55"/>
      <c r="H228" s="55"/>
      <c r="I228" s="54"/>
      <c r="K228" s="55"/>
      <c r="L228" s="55"/>
      <c r="M228" s="54"/>
      <c r="O228" s="55"/>
      <c r="P228" s="55"/>
    </row>
    <row r="229" spans="5:16" x14ac:dyDescent="0.25">
      <c r="E229" s="54"/>
      <c r="F229" s="55"/>
      <c r="G229" s="55"/>
      <c r="H229" s="55"/>
      <c r="I229" s="54"/>
      <c r="K229" s="55"/>
      <c r="L229" s="55"/>
      <c r="M229" s="54"/>
      <c r="O229" s="55"/>
      <c r="P229" s="55"/>
    </row>
    <row r="230" spans="5:16" x14ac:dyDescent="0.25">
      <c r="E230" s="54"/>
      <c r="F230" s="55"/>
      <c r="G230" s="55"/>
      <c r="H230" s="55"/>
      <c r="I230" s="54"/>
      <c r="K230" s="55"/>
      <c r="L230" s="55"/>
      <c r="M230" s="54"/>
      <c r="O230" s="55"/>
      <c r="P230" s="55"/>
    </row>
    <row r="231" spans="5:16" x14ac:dyDescent="0.25">
      <c r="E231" s="54"/>
      <c r="F231" s="55"/>
      <c r="G231" s="55"/>
      <c r="H231" s="55"/>
      <c r="I231" s="54"/>
      <c r="K231" s="55"/>
      <c r="L231" s="55"/>
      <c r="M231" s="54"/>
      <c r="O231" s="55"/>
      <c r="P231" s="55"/>
    </row>
    <row r="232" spans="5:16" x14ac:dyDescent="0.25">
      <c r="E232" s="54"/>
      <c r="F232" s="55"/>
      <c r="G232" s="55"/>
      <c r="H232" s="55"/>
      <c r="I232" s="54"/>
      <c r="K232" s="55"/>
      <c r="L232" s="55"/>
      <c r="M232" s="54"/>
      <c r="O232" s="55"/>
      <c r="P232" s="55"/>
    </row>
    <row r="233" spans="5:16" x14ac:dyDescent="0.25">
      <c r="E233" s="54"/>
      <c r="F233" s="55"/>
      <c r="G233" s="55"/>
      <c r="H233" s="55"/>
      <c r="I233" s="54"/>
      <c r="K233" s="55"/>
      <c r="L233" s="55"/>
      <c r="M233" s="54"/>
      <c r="O233" s="55"/>
      <c r="P233" s="55"/>
    </row>
    <row r="234" spans="5:16" x14ac:dyDescent="0.25">
      <c r="E234" s="54"/>
      <c r="F234" s="55"/>
      <c r="G234" s="55"/>
      <c r="H234" s="55"/>
      <c r="I234" s="54"/>
      <c r="K234" s="55"/>
      <c r="L234" s="55"/>
      <c r="M234" s="54"/>
      <c r="O234" s="55"/>
      <c r="P234" s="55"/>
    </row>
    <row r="235" spans="5:16" x14ac:dyDescent="0.25">
      <c r="E235" s="54"/>
      <c r="F235" s="55"/>
      <c r="G235" s="55"/>
      <c r="H235" s="55"/>
      <c r="I235" s="54"/>
      <c r="K235" s="55"/>
      <c r="L235" s="55"/>
      <c r="M235" s="54"/>
      <c r="O235" s="55"/>
      <c r="P235" s="55"/>
    </row>
    <row r="236" spans="5:16" x14ac:dyDescent="0.25">
      <c r="E236" s="54"/>
      <c r="F236" s="55"/>
      <c r="G236" s="55"/>
      <c r="H236" s="55"/>
      <c r="I236" s="54"/>
      <c r="K236" s="55"/>
      <c r="L236" s="55"/>
      <c r="M236" s="54"/>
      <c r="O236" s="55"/>
      <c r="P236" s="55"/>
    </row>
  </sheetData>
  <autoFilter ref="A3:R158" xr:uid="{00000000-0001-0000-0100-000000000000}">
    <filterColumn colId="0">
      <customFilters>
        <customFilter val="*5.1*"/>
      </customFilters>
    </filterColumn>
  </autoFilter>
  <mergeCells count="3">
    <mergeCell ref="E2:G2"/>
    <mergeCell ref="I2:K2"/>
    <mergeCell ref="M2:O2"/>
  </mergeCells>
  <phoneticPr fontId="14" type="noConversion"/>
  <conditionalFormatting sqref="E25:E37">
    <cfRule type="cellIs" dxfId="289" priority="561" operator="equal">
      <formula>"4"</formula>
    </cfRule>
    <cfRule type="cellIs" dxfId="288" priority="562" operator="equal">
      <formula>"3"</formula>
    </cfRule>
    <cfRule type="cellIs" dxfId="287" priority="563" operator="equal">
      <formula>"2"</formula>
    </cfRule>
    <cfRule type="cellIs" dxfId="286" priority="564" operator="equal">
      <formula>"1"</formula>
    </cfRule>
    <cfRule type="cellIs" dxfId="285" priority="565" operator="equal">
      <formula>"0"</formula>
    </cfRule>
  </conditionalFormatting>
  <conditionalFormatting sqref="E39:E46">
    <cfRule type="cellIs" dxfId="284" priority="557" operator="equal">
      <formula>"3"</formula>
    </cfRule>
    <cfRule type="cellIs" dxfId="283" priority="560" operator="equal">
      <formula>"0"</formula>
    </cfRule>
    <cfRule type="cellIs" dxfId="282" priority="559" operator="equal">
      <formula>"1"</formula>
    </cfRule>
    <cfRule type="cellIs" dxfId="281" priority="558" operator="equal">
      <formula>"2"</formula>
    </cfRule>
    <cfRule type="cellIs" dxfId="280" priority="556" operator="equal">
      <formula>"4"</formula>
    </cfRule>
  </conditionalFormatting>
  <conditionalFormatting sqref="E48:E52">
    <cfRule type="cellIs" dxfId="279" priority="555" operator="equal">
      <formula>"0"</formula>
    </cfRule>
    <cfRule type="cellIs" dxfId="278" priority="554" operator="equal">
      <formula>"1"</formula>
    </cfRule>
    <cfRule type="cellIs" dxfId="277" priority="553" operator="equal">
      <formula>"2"</formula>
    </cfRule>
    <cfRule type="cellIs" dxfId="276" priority="552" operator="equal">
      <formula>"3"</formula>
    </cfRule>
    <cfRule type="cellIs" dxfId="275" priority="551" operator="equal">
      <formula>"4"</formula>
    </cfRule>
  </conditionalFormatting>
  <conditionalFormatting sqref="E54:E70">
    <cfRule type="cellIs" dxfId="274" priority="535" operator="equal">
      <formula>"0"</formula>
    </cfRule>
    <cfRule type="cellIs" dxfId="273" priority="531" operator="equal">
      <formula>"4"</formula>
    </cfRule>
    <cfRule type="cellIs" dxfId="272" priority="532" operator="equal">
      <formula>"3"</formula>
    </cfRule>
    <cfRule type="cellIs" dxfId="271" priority="533" operator="equal">
      <formula>"2"</formula>
    </cfRule>
    <cfRule type="cellIs" dxfId="270" priority="534" operator="equal">
      <formula>"1"</formula>
    </cfRule>
  </conditionalFormatting>
  <conditionalFormatting sqref="E72:E130">
    <cfRule type="cellIs" dxfId="269" priority="459" operator="equal">
      <formula>"1"</formula>
    </cfRule>
    <cfRule type="cellIs" dxfId="268" priority="456" operator="equal">
      <formula>"4"</formula>
    </cfRule>
    <cfRule type="cellIs" dxfId="267" priority="457" operator="equal">
      <formula>"3"</formula>
    </cfRule>
    <cfRule type="cellIs" dxfId="266" priority="460" operator="equal">
      <formula>"0"</formula>
    </cfRule>
    <cfRule type="cellIs" dxfId="265" priority="458" operator="equal">
      <formula>"2"</formula>
    </cfRule>
  </conditionalFormatting>
  <conditionalFormatting sqref="E132:E157">
    <cfRule type="cellIs" dxfId="259" priority="312" operator="equal">
      <formula>"3"</formula>
    </cfRule>
    <cfRule type="cellIs" dxfId="258" priority="313" operator="equal">
      <formula>"2"</formula>
    </cfRule>
    <cfRule type="cellIs" dxfId="257" priority="314" operator="equal">
      <formula>"1"</formula>
    </cfRule>
    <cfRule type="cellIs" dxfId="256" priority="315" operator="equal">
      <formula>"0"</formula>
    </cfRule>
    <cfRule type="cellIs" dxfId="255" priority="311" operator="equal">
      <formula>"4"</formula>
    </cfRule>
  </conditionalFormatting>
  <conditionalFormatting sqref="F24 F38">
    <cfRule type="cellIs" dxfId="254" priority="878" operator="equal">
      <formula>"3"</formula>
    </cfRule>
    <cfRule type="cellIs" dxfId="253" priority="877" operator="equal">
      <formula>"4"</formula>
    </cfRule>
    <cfRule type="cellIs" dxfId="252" priority="879" operator="equal">
      <formula>"2"</formula>
    </cfRule>
    <cfRule type="cellIs" dxfId="251" priority="881" operator="equal">
      <formula>"0"</formula>
    </cfRule>
    <cfRule type="cellIs" dxfId="250" priority="880" operator="equal">
      <formula>"1"</formula>
    </cfRule>
  </conditionalFormatting>
  <conditionalFormatting sqref="F3:H3">
    <cfRule type="cellIs" dxfId="249" priority="861" operator="equal">
      <formula>"0"</formula>
    </cfRule>
    <cfRule type="cellIs" dxfId="248" priority="860" operator="equal">
      <formula>"1"</formula>
    </cfRule>
    <cfRule type="cellIs" dxfId="247" priority="857" operator="equal">
      <formula>"4"</formula>
    </cfRule>
    <cfRule type="cellIs" dxfId="246" priority="859" operator="equal">
      <formula>"2"</formula>
    </cfRule>
    <cfRule type="cellIs" dxfId="245" priority="858" operator="equal">
      <formula>"3"</formula>
    </cfRule>
  </conditionalFormatting>
  <conditionalFormatting sqref="G49">
    <cfRule type="cellIs" dxfId="244" priority="365" operator="equal">
      <formula>"0"</formula>
    </cfRule>
    <cfRule type="cellIs" dxfId="243" priority="363" operator="equal">
      <formula>"2"</formula>
    </cfRule>
    <cfRule type="cellIs" dxfId="242" priority="364" operator="equal">
      <formula>"1"</formula>
    </cfRule>
    <cfRule type="cellIs" dxfId="241" priority="361" operator="equal">
      <formula>"4"</formula>
    </cfRule>
    <cfRule type="cellIs" dxfId="240" priority="362" operator="equal">
      <formula>"3"</formula>
    </cfRule>
  </conditionalFormatting>
  <conditionalFormatting sqref="H100:P103">
    <cfRule type="cellIs" dxfId="234" priority="37" operator="equal">
      <formula>"3"</formula>
    </cfRule>
    <cfRule type="cellIs" dxfId="233" priority="40" operator="equal">
      <formula>"0"</formula>
    </cfRule>
    <cfRule type="cellIs" dxfId="232" priority="39" operator="equal">
      <formula>"1"</formula>
    </cfRule>
    <cfRule type="cellIs" dxfId="231" priority="38" operator="equal">
      <formula>"2"</formula>
    </cfRule>
    <cfRule type="cellIs" dxfId="230" priority="36" operator="equal">
      <formula>"4"</formula>
    </cfRule>
  </conditionalFormatting>
  <conditionalFormatting sqref="I5:I11">
    <cfRule type="cellIs" dxfId="229" priority="296" operator="equal">
      <formula>"4"</formula>
    </cfRule>
    <cfRule type="cellIs" dxfId="228" priority="300" operator="equal">
      <formula>"0"</formula>
    </cfRule>
    <cfRule type="cellIs" dxfId="227" priority="297" operator="equal">
      <formula>"3"</formula>
    </cfRule>
    <cfRule type="cellIs" dxfId="226" priority="298" operator="equal">
      <formula>"2"</formula>
    </cfRule>
    <cfRule type="cellIs" dxfId="225" priority="299" operator="equal">
      <formula>"1"</formula>
    </cfRule>
  </conditionalFormatting>
  <conditionalFormatting sqref="I13:I16">
    <cfRule type="cellIs" dxfId="224" priority="169" operator="equal">
      <formula>"1"</formula>
    </cfRule>
    <cfRule type="cellIs" dxfId="223" priority="168" operator="equal">
      <formula>"2"</formula>
    </cfRule>
    <cfRule type="cellIs" dxfId="222" priority="167" operator="equal">
      <formula>"3"</formula>
    </cfRule>
    <cfRule type="cellIs" dxfId="221" priority="166" operator="equal">
      <formula>"4"</formula>
    </cfRule>
    <cfRule type="cellIs" dxfId="220" priority="170" operator="equal">
      <formula>"0"</formula>
    </cfRule>
  </conditionalFormatting>
  <conditionalFormatting sqref="I20">
    <cfRule type="cellIs" dxfId="219" priority="290" operator="equal">
      <formula>"0"</formula>
    </cfRule>
    <cfRule type="cellIs" dxfId="218" priority="288" operator="equal">
      <formula>"2"</formula>
    </cfRule>
    <cfRule type="cellIs" dxfId="217" priority="286" operator="equal">
      <formula>"4"</formula>
    </cfRule>
    <cfRule type="cellIs" dxfId="216" priority="287" operator="equal">
      <formula>"3"</formula>
    </cfRule>
    <cfRule type="cellIs" dxfId="215" priority="289" operator="equal">
      <formula>"1"</formula>
    </cfRule>
  </conditionalFormatting>
  <conditionalFormatting sqref="I22">
    <cfRule type="cellIs" dxfId="214" priority="284" operator="equal">
      <formula>"1"</formula>
    </cfRule>
    <cfRule type="cellIs" dxfId="213" priority="282" operator="equal">
      <formula>"3"</formula>
    </cfRule>
    <cfRule type="cellIs" dxfId="212" priority="281" operator="equal">
      <formula>"4"</formula>
    </cfRule>
    <cfRule type="cellIs" dxfId="211" priority="283" operator="equal">
      <formula>"2"</formula>
    </cfRule>
    <cfRule type="cellIs" dxfId="210" priority="285" operator="equal">
      <formula>"0"</formula>
    </cfRule>
  </conditionalFormatting>
  <conditionalFormatting sqref="I25:I26">
    <cfRule type="cellIs" dxfId="209" priority="277" operator="equal">
      <formula>"3"</formula>
    </cfRule>
    <cfRule type="cellIs" dxfId="208" priority="278" operator="equal">
      <formula>"2"</formula>
    </cfRule>
    <cfRule type="cellIs" dxfId="207" priority="276" operator="equal">
      <formula>"4"</formula>
    </cfRule>
    <cfRule type="cellIs" dxfId="206" priority="280" operator="equal">
      <formula>"0"</formula>
    </cfRule>
    <cfRule type="cellIs" dxfId="205" priority="279" operator="equal">
      <formula>"1"</formula>
    </cfRule>
  </conditionalFormatting>
  <conditionalFormatting sqref="I29:I37">
    <cfRule type="cellIs" dxfId="204" priority="158" operator="equal">
      <formula>"2"</formula>
    </cfRule>
    <cfRule type="cellIs" dxfId="203" priority="156" operator="equal">
      <formula>"4"</formula>
    </cfRule>
    <cfRule type="cellIs" dxfId="202" priority="157" operator="equal">
      <formula>"3"</formula>
    </cfRule>
    <cfRule type="cellIs" dxfId="201" priority="159" operator="equal">
      <formula>"1"</formula>
    </cfRule>
    <cfRule type="cellIs" dxfId="200" priority="160" operator="equal">
      <formula>"0"</formula>
    </cfRule>
  </conditionalFormatting>
  <conditionalFormatting sqref="I39:I46">
    <cfRule type="cellIs" dxfId="199" priority="140" operator="equal">
      <formula>"0"</formula>
    </cfRule>
    <cfRule type="cellIs" dxfId="198" priority="139" operator="equal">
      <formula>"1"</formula>
    </cfRule>
    <cfRule type="cellIs" dxfId="197" priority="138" operator="equal">
      <formula>"2"</formula>
    </cfRule>
    <cfRule type="cellIs" dxfId="196" priority="137" operator="equal">
      <formula>"3"</formula>
    </cfRule>
    <cfRule type="cellIs" dxfId="195" priority="136" operator="equal">
      <formula>"4"</formula>
    </cfRule>
  </conditionalFormatting>
  <conditionalFormatting sqref="I3:J4 I12:J12 I17:J19 I21:J21 I23:J23">
    <cfRule type="cellIs" dxfId="194" priority="973" operator="equal">
      <formula>"3"</formula>
    </cfRule>
    <cfRule type="cellIs" dxfId="193" priority="975" operator="equal">
      <formula>"1"</formula>
    </cfRule>
    <cfRule type="cellIs" dxfId="192" priority="976" operator="equal">
      <formula>"0"</formula>
    </cfRule>
    <cfRule type="cellIs" dxfId="191" priority="972" operator="equal">
      <formula>"4"</formula>
    </cfRule>
    <cfRule type="cellIs" dxfId="190" priority="974" operator="equal">
      <formula>"2"</formula>
    </cfRule>
  </conditionalFormatting>
  <conditionalFormatting sqref="I27:J28">
    <cfRule type="cellIs" dxfId="189" priority="889" operator="equal">
      <formula>"2"</formula>
    </cfRule>
    <cfRule type="cellIs" dxfId="188" priority="891" operator="equal">
      <formula>"0"</formula>
    </cfRule>
    <cfRule type="cellIs" dxfId="187" priority="890" operator="equal">
      <formula>"1"</formula>
    </cfRule>
    <cfRule type="cellIs" dxfId="186" priority="887" operator="equal">
      <formula>"4"</formula>
    </cfRule>
    <cfRule type="cellIs" dxfId="185" priority="888" operator="equal">
      <formula>"3"</formula>
    </cfRule>
  </conditionalFormatting>
  <conditionalFormatting sqref="I48:J52">
    <cfRule type="cellIs" dxfId="184" priority="123" operator="equal">
      <formula>"2"</formula>
    </cfRule>
    <cfRule type="cellIs" dxfId="183" priority="125" operator="equal">
      <formula>"0"</formula>
    </cfRule>
    <cfRule type="cellIs" dxfId="182" priority="124" operator="equal">
      <formula>"1"</formula>
    </cfRule>
    <cfRule type="cellIs" dxfId="181" priority="121" operator="equal">
      <formula>"4"</formula>
    </cfRule>
    <cfRule type="cellIs" dxfId="180" priority="122" operator="equal">
      <formula>"3"</formula>
    </cfRule>
  </conditionalFormatting>
  <conditionalFormatting sqref="I61:J70">
    <cfRule type="cellIs" dxfId="179" priority="55" operator="equal">
      <formula>"0"</formula>
    </cfRule>
    <cfRule type="cellIs" dxfId="178" priority="54" operator="equal">
      <formula>"1"</formula>
    </cfRule>
    <cfRule type="cellIs" dxfId="177" priority="53" operator="equal">
      <formula>"2"</formula>
    </cfRule>
    <cfRule type="cellIs" dxfId="176" priority="51" operator="equal">
      <formula>"4"</formula>
    </cfRule>
    <cfRule type="cellIs" dxfId="175" priority="52" operator="equal">
      <formula>"3"</formula>
    </cfRule>
  </conditionalFormatting>
  <conditionalFormatting sqref="I73:J77">
    <cfRule type="cellIs" dxfId="174" priority="250" operator="equal">
      <formula>"0"</formula>
    </cfRule>
    <cfRule type="cellIs" dxfId="173" priority="249" operator="equal">
      <formula>"1"</formula>
    </cfRule>
    <cfRule type="cellIs" dxfId="172" priority="248" operator="equal">
      <formula>"2"</formula>
    </cfRule>
    <cfRule type="cellIs" dxfId="171" priority="247" operator="equal">
      <formula>"3"</formula>
    </cfRule>
    <cfRule type="cellIs" dxfId="170" priority="246" operator="equal">
      <formula>"4"</formula>
    </cfRule>
  </conditionalFormatting>
  <conditionalFormatting sqref="I118:J125">
    <cfRule type="cellIs" dxfId="169" priority="81" operator="equal">
      <formula>"4"</formula>
    </cfRule>
    <cfRule type="cellIs" dxfId="168" priority="85" operator="equal">
      <formula>"0"</formula>
    </cfRule>
    <cfRule type="cellIs" dxfId="167" priority="84" operator="equal">
      <formula>"1"</formula>
    </cfRule>
    <cfRule type="cellIs" dxfId="166" priority="83" operator="equal">
      <formula>"2"</formula>
    </cfRule>
    <cfRule type="cellIs" dxfId="165" priority="82" operator="equal">
      <formula>"3"</formula>
    </cfRule>
  </conditionalFormatting>
  <conditionalFormatting sqref="I128:J130">
    <cfRule type="cellIs" dxfId="164" priority="69" operator="equal">
      <formula>"1"</formula>
    </cfRule>
    <cfRule type="cellIs" dxfId="163" priority="66" operator="equal">
      <formula>"4"</formula>
    </cfRule>
    <cfRule type="cellIs" dxfId="162" priority="68" operator="equal">
      <formula>"2"</formula>
    </cfRule>
    <cfRule type="cellIs" dxfId="161" priority="70" operator="equal">
      <formula>"0"</formula>
    </cfRule>
    <cfRule type="cellIs" dxfId="160" priority="67" operator="equal">
      <formula>"3"</formula>
    </cfRule>
  </conditionalFormatting>
  <conditionalFormatting sqref="I133:J135">
    <cfRule type="cellIs" dxfId="159" priority="6" operator="equal">
      <formula>"4"</formula>
    </cfRule>
    <cfRule type="cellIs" dxfId="158" priority="7" operator="equal">
      <formula>"3"</formula>
    </cfRule>
    <cfRule type="cellIs" dxfId="157" priority="10" operator="equal">
      <formula>"0"</formula>
    </cfRule>
    <cfRule type="cellIs" dxfId="156" priority="8" operator="equal">
      <formula>"2"</formula>
    </cfRule>
    <cfRule type="cellIs" dxfId="155" priority="9" operator="equal">
      <formula>"1"</formula>
    </cfRule>
  </conditionalFormatting>
  <conditionalFormatting sqref="I24:P24 I38:P38 I47:P47 L48:P52 K61:P68 L69:P69 K70:P70 I71:P72 L73:P77 N167:P236 I237:P1048576">
    <cfRule type="cellIs" dxfId="154" priority="949" operator="equal">
      <formula>"2"</formula>
    </cfRule>
    <cfRule type="cellIs" dxfId="153" priority="950" operator="equal">
      <formula>"1"</formula>
    </cfRule>
    <cfRule type="cellIs" dxfId="152" priority="951" operator="equal">
      <formula>"0"</formula>
    </cfRule>
    <cfRule type="cellIs" dxfId="151" priority="947" operator="equal">
      <formula>"4"</formula>
    </cfRule>
    <cfRule type="cellIs" dxfId="150" priority="948" operator="equal">
      <formula>"3"</formula>
    </cfRule>
  </conditionalFormatting>
  <conditionalFormatting sqref="I53:P60">
    <cfRule type="cellIs" dxfId="149" priority="117" operator="equal">
      <formula>"3"</formula>
    </cfRule>
    <cfRule type="cellIs" dxfId="148" priority="118" operator="equal">
      <formula>"2"</formula>
    </cfRule>
    <cfRule type="cellIs" dxfId="147" priority="119" operator="equal">
      <formula>"1"</formula>
    </cfRule>
    <cfRule type="cellIs" dxfId="146" priority="120" operator="equal">
      <formula>"0"</formula>
    </cfRule>
    <cfRule type="cellIs" dxfId="145" priority="116" operator="equal">
      <formula>"4"</formula>
    </cfRule>
  </conditionalFormatting>
  <conditionalFormatting sqref="I78:P99">
    <cfRule type="cellIs" dxfId="144" priority="44" operator="equal">
      <formula>"1"</formula>
    </cfRule>
    <cfRule type="cellIs" dxfId="143" priority="41" operator="equal">
      <formula>"4"</formula>
    </cfRule>
    <cfRule type="cellIs" dxfId="142" priority="43" operator="equal">
      <formula>"2"</formula>
    </cfRule>
    <cfRule type="cellIs" dxfId="141" priority="42" operator="equal">
      <formula>"3"</formula>
    </cfRule>
    <cfRule type="cellIs" dxfId="140" priority="45" operator="equal">
      <formula>"0"</formula>
    </cfRule>
  </conditionalFormatting>
  <conditionalFormatting sqref="I104:P104 I105:J116 L105:P116 I117:P117 L118:P125 I126:P127 L128:P130 I131:P132 L133:P133 K134:P135">
    <cfRule type="cellIs" dxfId="139" priority="380" operator="equal">
      <formula>"0"</formula>
    </cfRule>
    <cfRule type="cellIs" dxfId="138" priority="378" operator="equal">
      <formula>"2"</formula>
    </cfRule>
    <cfRule type="cellIs" dxfId="137" priority="377" operator="equal">
      <formula>"3"</formula>
    </cfRule>
    <cfRule type="cellIs" dxfId="136" priority="376" operator="equal">
      <formula>"4"</formula>
    </cfRule>
    <cfRule type="cellIs" dxfId="135" priority="379" operator="equal">
      <formula>"1"</formula>
    </cfRule>
  </conditionalFormatting>
  <conditionalFormatting sqref="I136:P166">
    <cfRule type="cellIs" dxfId="134" priority="3" operator="equal">
      <formula>"2"</formula>
    </cfRule>
    <cfRule type="cellIs" dxfId="133" priority="4" operator="equal">
      <formula>"1"</formula>
    </cfRule>
    <cfRule type="cellIs" dxfId="132" priority="5" operator="equal">
      <formula>"0"</formula>
    </cfRule>
    <cfRule type="cellIs" dxfId="131" priority="1" operator="equal">
      <formula>"4"</formula>
    </cfRule>
    <cfRule type="cellIs" dxfId="130" priority="2" operator="equal">
      <formula>"3"</formula>
    </cfRule>
  </conditionalFormatting>
  <conditionalFormatting sqref="J167:L236">
    <cfRule type="cellIs" dxfId="129" priority="986" operator="equal">
      <formula>"0"</formula>
    </cfRule>
    <cfRule type="cellIs" dxfId="128" priority="982" operator="equal">
      <formula>"4"</formula>
    </cfRule>
    <cfRule type="cellIs" dxfId="127" priority="983" operator="equal">
      <formula>"3"</formula>
    </cfRule>
    <cfRule type="cellIs" dxfId="126" priority="984" operator="equal">
      <formula>"2"</formula>
    </cfRule>
    <cfRule type="cellIs" dxfId="125" priority="985" operator="equal">
      <formula>"1"</formula>
    </cfRule>
  </conditionalFormatting>
  <conditionalFormatting sqref="K3:L3">
    <cfRule type="cellIs" dxfId="84" priority="977" operator="equal">
      <formula>"4"</formula>
    </cfRule>
    <cfRule type="cellIs" dxfId="83" priority="978" operator="equal">
      <formula>"3"</formula>
    </cfRule>
    <cfRule type="cellIs" dxfId="82" priority="979" operator="equal">
      <formula>"2"</formula>
    </cfRule>
    <cfRule type="cellIs" dxfId="81" priority="980" operator="equal">
      <formula>"1"</formula>
    </cfRule>
    <cfRule type="cellIs" dxfId="80" priority="981" operator="equal">
      <formula>"0"</formula>
    </cfRule>
  </conditionalFormatting>
  <conditionalFormatting sqref="M3:N23">
    <cfRule type="cellIs" dxfId="79" priority="938" operator="equal">
      <formula>"3"</formula>
    </cfRule>
    <cfRule type="cellIs" dxfId="78" priority="939" operator="equal">
      <formula>"2"</formula>
    </cfRule>
    <cfRule type="cellIs" dxfId="77" priority="940" operator="equal">
      <formula>"1"</formula>
    </cfRule>
    <cfRule type="cellIs" dxfId="76" priority="941" operator="equal">
      <formula>"0"</formula>
    </cfRule>
    <cfRule type="cellIs" dxfId="75" priority="937" operator="equal">
      <formula>"4"</formula>
    </cfRule>
  </conditionalFormatting>
  <conditionalFormatting sqref="M25:N37">
    <cfRule type="cellIs" dxfId="74" priority="885" operator="equal">
      <formula>"1"</formula>
    </cfRule>
    <cfRule type="cellIs" dxfId="73" priority="884" operator="equal">
      <formula>"2"</formula>
    </cfRule>
    <cfRule type="cellIs" dxfId="72" priority="883" operator="equal">
      <formula>"3"</formula>
    </cfRule>
    <cfRule type="cellIs" dxfId="71" priority="882" operator="equal">
      <formula>"4"</formula>
    </cfRule>
    <cfRule type="cellIs" dxfId="70" priority="886" operator="equal">
      <formula>"0"</formula>
    </cfRule>
  </conditionalFormatting>
  <conditionalFormatting sqref="M39:N46">
    <cfRule type="cellIs" dxfId="69" priority="897" operator="equal">
      <formula>"4"</formula>
    </cfRule>
    <cfRule type="cellIs" dxfId="68" priority="898" operator="equal">
      <formula>"3"</formula>
    </cfRule>
    <cfRule type="cellIs" dxfId="67" priority="899" operator="equal">
      <formula>"2"</formula>
    </cfRule>
    <cfRule type="cellIs" dxfId="66" priority="900" operator="equal">
      <formula>"1"</formula>
    </cfRule>
    <cfRule type="cellIs" dxfId="65" priority="901" operator="equal">
      <formula>"0"</formula>
    </cfRule>
  </conditionalFormatting>
  <conditionalFormatting sqref="O3:R3 E5:E11 E13:E17 E19:E23 F47:F1048576">
    <cfRule type="cellIs" dxfId="64" priority="577" operator="equal">
      <formula>"3"</formula>
    </cfRule>
    <cfRule type="cellIs" dxfId="63" priority="578" operator="equal">
      <formula>"2"</formula>
    </cfRule>
    <cfRule type="cellIs" dxfId="62" priority="579" operator="equal">
      <formula>"1"</formula>
    </cfRule>
    <cfRule type="cellIs" dxfId="61" priority="580" operator="equal">
      <formula>"0"</formula>
    </cfRule>
    <cfRule type="cellIs" dxfId="60" priority="576" operator="equal">
      <formula>"4"</formula>
    </cfRule>
  </conditionalFormatting>
  <conditionalFormatting sqref="Q4:Q11 Q13:Q17 Q19:Q166">
    <cfRule type="cellIs" dxfId="59" priority="625" operator="equal">
      <formula>0</formula>
    </cfRule>
  </conditionalFormatting>
  <conditionalFormatting sqref="Q4:Q166">
    <cfRule type="cellIs" dxfId="58" priority="468" operator="equal">
      <formula>"D3"</formula>
    </cfRule>
    <cfRule type="cellIs" dxfId="57" priority="469" operator="equal">
      <formula>3</formula>
    </cfRule>
    <cfRule type="cellIs" dxfId="56" priority="474" operator="equal">
      <formula>"D0"</formula>
    </cfRule>
    <cfRule type="cellIs" dxfId="55" priority="473" operator="equal">
      <formula>"D1"</formula>
    </cfRule>
    <cfRule type="cellIs" dxfId="54" priority="472" operator="equal">
      <formula>1</formula>
    </cfRule>
    <cfRule type="cellIs" dxfId="53" priority="471" operator="equal">
      <formula>2</formula>
    </cfRule>
    <cfRule type="cellIs" dxfId="52" priority="467" operator="equal">
      <formula>4</formula>
    </cfRule>
    <cfRule type="cellIs" dxfId="51" priority="466" operator="equal">
      <formula>"D4"</formula>
    </cfRule>
    <cfRule type="cellIs" dxfId="50" priority="470" operator="equal">
      <formula>"D2"</formula>
    </cfRule>
  </conditionalFormatting>
  <conditionalFormatting sqref="R4:R11 R13:R17 R19:R53 R55:R59 R61:R71 R73:R77 R79:R86 R88:R103 R105:R116 R118:R125">
    <cfRule type="cellIs" dxfId="44" priority="636" operator="equal">
      <formula>0</formula>
    </cfRule>
  </conditionalFormatting>
  <conditionalFormatting sqref="R4:R53 R55:R59 R61:R71 R73:R77 R79:R86 R88:R103 R105:R116 R118:R125">
    <cfRule type="cellIs" dxfId="43" priority="632" operator="equal">
      <formula>2</formula>
    </cfRule>
    <cfRule type="cellIs" dxfId="42" priority="630" operator="equal">
      <formula>"D2"</formula>
    </cfRule>
    <cfRule type="cellIs" dxfId="41" priority="635" operator="equal">
      <formula>"D0"</formula>
    </cfRule>
    <cfRule type="cellIs" dxfId="40" priority="634" operator="equal">
      <formula>"D1"</formula>
    </cfRule>
    <cfRule type="cellIs" dxfId="39" priority="633" operator="equal">
      <formula>1</formula>
    </cfRule>
    <cfRule type="cellIs" dxfId="38" priority="629" operator="equal">
      <formula>3</formula>
    </cfRule>
    <cfRule type="cellIs" dxfId="37" priority="628" operator="equal">
      <formula>"D3"</formula>
    </cfRule>
    <cfRule type="cellIs" dxfId="36" priority="627" operator="equal">
      <formula>4</formula>
    </cfRule>
    <cfRule type="cellIs" dxfId="35" priority="626" operator="equal">
      <formula>"D4"</formula>
    </cfRule>
  </conditionalFormatting>
  <conditionalFormatting sqref="R127:R131 R133:R135">
    <cfRule type="cellIs" dxfId="34" priority="437" operator="equal">
      <formula>4</formula>
    </cfRule>
    <cfRule type="cellIs" dxfId="33" priority="445" operator="equal">
      <formula>0</formula>
    </cfRule>
    <cfRule type="cellIs" dxfId="32" priority="444" operator="equal">
      <formula>"D0"</formula>
    </cfRule>
    <cfRule type="cellIs" dxfId="31" priority="443" operator="equal">
      <formula>"D1"</formula>
    </cfRule>
    <cfRule type="cellIs" dxfId="30" priority="441" operator="equal">
      <formula>2</formula>
    </cfRule>
    <cfRule type="cellIs" dxfId="29" priority="442" operator="equal">
      <formula>1</formula>
    </cfRule>
    <cfRule type="cellIs" dxfId="28" priority="440" operator="equal">
      <formula>"D2"</formula>
    </cfRule>
    <cfRule type="cellIs" dxfId="27" priority="439" operator="equal">
      <formula>3</formula>
    </cfRule>
    <cfRule type="cellIs" dxfId="26" priority="438" operator="equal">
      <formula>"D3"</formula>
    </cfRule>
    <cfRule type="cellIs" dxfId="25" priority="436" operator="equal">
      <formula>"D4"</formula>
    </cfRule>
  </conditionalFormatting>
  <conditionalFormatting sqref="R137:R148">
    <cfRule type="cellIs" dxfId="24" priority="401" operator="equal">
      <formula>"D4"</formula>
    </cfRule>
    <cfRule type="cellIs" dxfId="23" priority="405" operator="equal">
      <formula>"D2"</formula>
    </cfRule>
    <cfRule type="cellIs" dxfId="22" priority="404" operator="equal">
      <formula>3</formula>
    </cfRule>
    <cfRule type="cellIs" dxfId="21" priority="406" operator="equal">
      <formula>2</formula>
    </cfRule>
    <cfRule type="cellIs" dxfId="20" priority="403" operator="equal">
      <formula>"D3"</formula>
    </cfRule>
    <cfRule type="cellIs" dxfId="19" priority="402" operator="equal">
      <formula>4</formula>
    </cfRule>
    <cfRule type="cellIs" dxfId="18" priority="410" operator="equal">
      <formula>0</formula>
    </cfRule>
    <cfRule type="cellIs" dxfId="17" priority="409" operator="equal">
      <formula>"D0"</formula>
    </cfRule>
    <cfRule type="cellIs" dxfId="16" priority="408" operator="equal">
      <formula>"D1"</formula>
    </cfRule>
    <cfRule type="cellIs" dxfId="15" priority="407" operator="equal">
      <formula>1</formula>
    </cfRule>
  </conditionalFormatting>
  <conditionalFormatting sqref="R150:R158">
    <cfRule type="cellIs" dxfId="14" priority="392" operator="equal">
      <formula>1</formula>
    </cfRule>
    <cfRule type="cellIs" dxfId="13" priority="387" operator="equal">
      <formula>4</formula>
    </cfRule>
    <cfRule type="cellIs" dxfId="12" priority="391" operator="equal">
      <formula>2</formula>
    </cfRule>
    <cfRule type="cellIs" dxfId="11" priority="395" operator="equal">
      <formula>0</formula>
    </cfRule>
    <cfRule type="cellIs" dxfId="10" priority="389" operator="equal">
      <formula>3</formula>
    </cfRule>
  </conditionalFormatting>
  <conditionalFormatting sqref="R150:R166">
    <cfRule type="cellIs" dxfId="9" priority="394" operator="equal">
      <formula>"D0"</formula>
    </cfRule>
    <cfRule type="cellIs" dxfId="8" priority="393" operator="equal">
      <formula>"D1"</formula>
    </cfRule>
    <cfRule type="cellIs" dxfId="7" priority="390" operator="equal">
      <formula>"D2"</formula>
    </cfRule>
    <cfRule type="cellIs" dxfId="6" priority="388" operator="equal">
      <formula>"D3"</formula>
    </cfRule>
    <cfRule type="cellIs" dxfId="5" priority="386" operator="equal">
      <formula>"D4"</formula>
    </cfRule>
  </conditionalFormatting>
  <conditionalFormatting sqref="R159:R166">
    <cfRule type="cellIs" dxfId="4" priority="605" operator="equal">
      <formula>"0"</formula>
    </cfRule>
    <cfRule type="cellIs" dxfId="3" priority="597" operator="equal">
      <formula>"4"</formula>
    </cfRule>
    <cfRule type="cellIs" dxfId="2" priority="599" operator="equal">
      <formula>"3"</formula>
    </cfRule>
    <cfRule type="cellIs" dxfId="1" priority="601" operator="equal">
      <formula>"2"</formula>
    </cfRule>
    <cfRule type="cellIs" dxfId="0" priority="602" operator="equal">
      <formula>"1"</formula>
    </cfRule>
  </conditionalFormatting>
  <dataValidations disablePrompts="1" count="1">
    <dataValidation type="list" allowBlank="1" showInputMessage="1" showErrorMessage="1" sqref="R4:R166 Q4:Q166" xr:uid="{00000000-0002-0000-0100-000000000000}">
      <formula1>"0,1,2,3,4,D0,D1,D2,D3,D4,-"</formula1>
    </dataValidation>
  </dataValidations>
  <pageMargins left="0.70866141732283472" right="0.70866141732283472" top="0.78740157480314965" bottom="0.78740157480314965" header="0.31496062992125984" footer="0.31496062992125984"/>
  <pageSetup paperSize="9" scale="41" fitToHeight="0" orientation="portrait" verticalDpi="0" r:id="rId1"/>
  <ignoredErrors>
    <ignoredError sqref="B127 B128:B130" twoDigitTextYear="1"/>
  </ignoredErrors>
  <legacyDrawing r:id="rId2"/>
  <extLst>
    <ext xmlns:x14="http://schemas.microsoft.com/office/spreadsheetml/2009/9/main" uri="{78C0D931-6437-407d-A8EE-F0AAD7539E65}">
      <x14:conditionalFormattings>
        <x14:conditionalFormatting xmlns:xm="http://schemas.microsoft.com/office/excel/2006/main">
          <x14:cfRule type="cellIs" priority="1027" operator="equal" id="{E94CA439-A008-4AFE-B765-E39AD0C167C8}">
            <xm:f>Titel!$H$35</xm:f>
            <x14:dxf>
              <fill>
                <patternFill>
                  <bgColor rgb="FFFF7171"/>
                </patternFill>
              </fill>
            </x14:dxf>
          </x14:cfRule>
          <x14:cfRule type="containsText" priority="1031" operator="containsText" id="{9B59D5BE-1C2B-410D-A46F-C7E89FA1B4E1}">
            <xm:f>NOT(ISERROR(SEARCH(Titel!$D$35,E3)))</xm:f>
            <xm:f>Titel!$D$35</xm:f>
            <x14:dxf>
              <fill>
                <patternFill>
                  <bgColor theme="0" tint="-0.34998626667073579"/>
                </patternFill>
              </fill>
            </x14:dxf>
          </x14:cfRule>
          <x14:cfRule type="cellIs" priority="1030" operator="equal" id="{061DFC1C-C084-4C9C-B92C-718CB64126F7}">
            <xm:f>Titel!$E$35</xm:f>
            <x14:dxf>
              <fill>
                <patternFill>
                  <bgColor rgb="FFFFFF99"/>
                </patternFill>
              </fill>
            </x14:dxf>
          </x14:cfRule>
          <x14:cfRule type="cellIs" priority="1029" operator="equal" id="{6EB4AA37-15FF-46CB-96DF-4A6E3E47512D}">
            <xm:f>Titel!$F$35</xm:f>
            <x14:dxf>
              <fill>
                <patternFill>
                  <bgColor rgb="FFFFD299"/>
                </patternFill>
              </fill>
            </x14:dxf>
          </x14:cfRule>
          <x14:cfRule type="cellIs" priority="1028" operator="equal" id="{F55DCA91-DA0B-4332-952E-D4F8E11C7916}">
            <xm:f>Titel!$G$35</xm:f>
            <x14:dxf>
              <fill>
                <patternFill>
                  <bgColor rgb="FFFFA082"/>
                </patternFill>
              </fill>
            </x14:dxf>
          </x14:cfRule>
          <xm:sqref>E3:E4 E24 G24:H24 E38 G38:H38 E47 G47:H48 H49 G50:H87 E53 E71 H88:H99 G88:G103 E158:E166 E237:E1048576</xm:sqref>
        </x14:conditionalFormatting>
        <x14:conditionalFormatting xmlns:xm="http://schemas.microsoft.com/office/excel/2006/main">
          <x14:cfRule type="cellIs" priority="453" operator="equal" id="{FEA09609-B4C6-4332-8B8D-633FC5378C31}">
            <xm:f>Titel!$F$35</xm:f>
            <x14:dxf>
              <fill>
                <patternFill>
                  <bgColor rgb="FFFFD299"/>
                </patternFill>
              </fill>
            </x14:dxf>
          </x14:cfRule>
          <x14:cfRule type="cellIs" priority="454" operator="equal" id="{417B77B1-27CA-47BA-AA19-3BEAEA3F72A3}">
            <xm:f>Titel!$E$35</xm:f>
            <x14:dxf>
              <fill>
                <patternFill>
                  <bgColor rgb="FFFFFF99"/>
                </patternFill>
              </fill>
            </x14:dxf>
          </x14:cfRule>
          <x14:cfRule type="containsText" priority="455" operator="containsText" id="{3E3EE932-DDA5-4DC9-9958-FE21692B7D87}">
            <xm:f>NOT(ISERROR(SEARCH(Titel!$D$35,E131)))</xm:f>
            <xm:f>Titel!$D$35</xm:f>
            <x14:dxf>
              <fill>
                <patternFill>
                  <bgColor theme="0" tint="-0.34998626667073579"/>
                </patternFill>
              </fill>
            </x14:dxf>
          </x14:cfRule>
          <x14:cfRule type="cellIs" priority="451" operator="equal" id="{1A9B866F-946B-4480-B9E3-B6F62F35B12D}">
            <xm:f>Titel!$H$35</xm:f>
            <x14:dxf>
              <fill>
                <patternFill>
                  <bgColor rgb="FFFF7171"/>
                </patternFill>
              </fill>
            </x14:dxf>
          </x14:cfRule>
          <x14:cfRule type="cellIs" priority="452" operator="equal" id="{408982A8-0CB4-4EA6-BEA0-FAB67DD10E42}">
            <xm:f>Titel!$G$35</xm:f>
            <x14:dxf>
              <fill>
                <patternFill>
                  <bgColor rgb="FFFFA082"/>
                </patternFill>
              </fill>
            </x14:dxf>
          </x14:cfRule>
          <xm:sqref>E131</xm:sqref>
        </x14:conditionalFormatting>
        <x14:conditionalFormatting xmlns:xm="http://schemas.microsoft.com/office/excel/2006/main">
          <x14:cfRule type="cellIs" priority="316" operator="equal" id="{73AF5F9C-5FE2-4C4E-94C6-5FDD0E06E893}">
            <xm:f>Titel!$H$35</xm:f>
            <x14:dxf>
              <fill>
                <patternFill>
                  <bgColor rgb="FFFF7171"/>
                </patternFill>
              </fill>
            </x14:dxf>
          </x14:cfRule>
          <x14:cfRule type="cellIs" priority="317" operator="equal" id="{0B0CF1CB-76EC-4A1E-8F15-D7739C6B0273}">
            <xm:f>Titel!$G$35</xm:f>
            <x14:dxf>
              <fill>
                <patternFill>
                  <bgColor rgb="FFFFA082"/>
                </patternFill>
              </fill>
            </x14:dxf>
          </x14:cfRule>
          <x14:cfRule type="cellIs" priority="318" operator="equal" id="{75EF5064-5BCD-4DBD-9481-8233B6C1B253}">
            <xm:f>Titel!$F$35</xm:f>
            <x14:dxf>
              <fill>
                <patternFill>
                  <bgColor rgb="FFFFD299"/>
                </patternFill>
              </fill>
            </x14:dxf>
          </x14:cfRule>
          <x14:cfRule type="cellIs" priority="319" operator="equal" id="{D41786E8-3D33-4B09-9CEE-1BF5B5031094}">
            <xm:f>Titel!$E$35</xm:f>
            <x14:dxf>
              <fill>
                <patternFill>
                  <bgColor rgb="FFFFFF99"/>
                </patternFill>
              </fill>
            </x14:dxf>
          </x14:cfRule>
          <x14:cfRule type="containsText" priority="320" operator="containsText" id="{5D78AF2E-389C-4A28-9A8B-D2B925CACDD5}">
            <xm:f>NOT(ISERROR(SEARCH(Titel!$D$35,G104)))</xm:f>
            <xm:f>Titel!$D$35</xm:f>
            <x14:dxf>
              <fill>
                <patternFill>
                  <bgColor theme="0" tint="-0.34998626667073579"/>
                </patternFill>
              </fill>
            </x14:dxf>
          </x14:cfRule>
          <xm:sqref>G104:H1048576</xm:sqref>
        </x14:conditionalFormatting>
        <x14:conditionalFormatting xmlns:xm="http://schemas.microsoft.com/office/excel/2006/main">
          <x14:cfRule type="cellIs" priority="216" operator="equal" id="{CC357319-E30D-4EE7-9FB0-FCFA204A6B28}">
            <xm:f>Titel!$H$35</xm:f>
            <x14:dxf>
              <fill>
                <patternFill>
                  <bgColor rgb="FFFF7171"/>
                </patternFill>
              </fill>
            </x14:dxf>
          </x14:cfRule>
          <x14:cfRule type="cellIs" priority="217" operator="equal" id="{37ED6D86-7798-4FE6-A57E-08DF0F1AFB35}">
            <xm:f>Titel!$G$35</xm:f>
            <x14:dxf>
              <fill>
                <patternFill>
                  <bgColor rgb="FFFFA082"/>
                </patternFill>
              </fill>
            </x14:dxf>
          </x14:cfRule>
          <x14:cfRule type="cellIs" priority="218" operator="equal" id="{CC197B1A-1C57-4BE2-A7FD-F72189A2AD30}">
            <xm:f>Titel!$F$35</xm:f>
            <x14:dxf>
              <fill>
                <patternFill>
                  <bgColor rgb="FFFFD299"/>
                </patternFill>
              </fill>
            </x14:dxf>
          </x14:cfRule>
          <x14:cfRule type="cellIs" priority="219" operator="equal" id="{E9F9660A-A10C-4BAD-86C0-B9E5C2E9F2FB}">
            <xm:f>Titel!$E$35</xm:f>
            <x14:dxf>
              <fill>
                <patternFill>
                  <bgColor rgb="FFFFFF99"/>
                </patternFill>
              </fill>
            </x14:dxf>
          </x14:cfRule>
          <x14:cfRule type="containsText" priority="220" operator="containsText" id="{782EF828-E882-4723-B7FF-7D519E846E46}">
            <xm:f>NOT(ISERROR(SEARCH(Titel!$D$35,K48)))</xm:f>
            <xm:f>Titel!$D$35</xm:f>
            <x14:dxf>
              <fill>
                <patternFill>
                  <bgColor theme="0" tint="-0.34998626667073579"/>
                </patternFill>
              </fill>
            </x14:dxf>
          </x14:cfRule>
          <xm:sqref>K48</xm:sqref>
        </x14:conditionalFormatting>
        <x14:conditionalFormatting xmlns:xm="http://schemas.microsoft.com/office/excel/2006/main">
          <x14:cfRule type="containsText" priority="205" operator="containsText" id="{8851B15B-A7FC-49F7-8B5D-3495F5E601B2}">
            <xm:f>NOT(ISERROR(SEARCH(Titel!$D$35,K51)))</xm:f>
            <xm:f>Titel!$D$35</xm:f>
            <x14:dxf>
              <fill>
                <patternFill>
                  <bgColor theme="0" tint="-0.34998626667073579"/>
                </patternFill>
              </fill>
            </x14:dxf>
          </x14:cfRule>
          <x14:cfRule type="cellIs" priority="203" operator="equal" id="{CDCB286E-3298-4609-95D8-A9BD1C8283B2}">
            <xm:f>Titel!$F$35</xm:f>
            <x14:dxf>
              <fill>
                <patternFill>
                  <bgColor rgb="FFFFD299"/>
                </patternFill>
              </fill>
            </x14:dxf>
          </x14:cfRule>
          <x14:cfRule type="cellIs" priority="202" operator="equal" id="{9C938DC6-BBF8-4795-9BE1-393CE9E66D78}">
            <xm:f>Titel!$G$35</xm:f>
            <x14:dxf>
              <fill>
                <patternFill>
                  <bgColor rgb="FFFFA082"/>
                </patternFill>
              </fill>
            </x14:dxf>
          </x14:cfRule>
          <x14:cfRule type="cellIs" priority="201" operator="equal" id="{D1F18943-A5A6-4A31-AB10-C1F090F7EC43}">
            <xm:f>Titel!$H$35</xm:f>
            <x14:dxf>
              <fill>
                <patternFill>
                  <bgColor rgb="FFFF7171"/>
                </patternFill>
              </fill>
            </x14:dxf>
          </x14:cfRule>
          <x14:cfRule type="cellIs" priority="204" operator="equal" id="{AF6D007E-AFFC-49B0-8DFA-A1110A59B943}">
            <xm:f>Titel!$E$35</xm:f>
            <x14:dxf>
              <fill>
                <patternFill>
                  <bgColor rgb="FFFFFF99"/>
                </patternFill>
              </fill>
            </x14:dxf>
          </x14:cfRule>
          <xm:sqref>K51:K52</xm:sqref>
        </x14:conditionalFormatting>
        <x14:conditionalFormatting xmlns:xm="http://schemas.microsoft.com/office/excel/2006/main">
          <x14:cfRule type="containsText" priority="190" operator="containsText" id="{998CD614-B3A2-4CA8-898F-36C08CABEF49}">
            <xm:f>NOT(ISERROR(SEARCH(Titel!$D$35,K69)))</xm:f>
            <xm:f>Titel!$D$35</xm:f>
            <x14:dxf>
              <fill>
                <patternFill>
                  <bgColor theme="0" tint="-0.34998626667073579"/>
                </patternFill>
              </fill>
            </x14:dxf>
          </x14:cfRule>
          <x14:cfRule type="cellIs" priority="189" operator="equal" id="{58BB579A-55E5-4F72-AC72-41F9420AE312}">
            <xm:f>Titel!$E$35</xm:f>
            <x14:dxf>
              <fill>
                <patternFill>
                  <bgColor rgb="FFFFFF99"/>
                </patternFill>
              </fill>
            </x14:dxf>
          </x14:cfRule>
          <x14:cfRule type="cellIs" priority="188" operator="equal" id="{44D6038B-8A6F-414B-9E08-ADECC0467AE7}">
            <xm:f>Titel!$F$35</xm:f>
            <x14:dxf>
              <fill>
                <patternFill>
                  <bgColor rgb="FFFFD299"/>
                </patternFill>
              </fill>
            </x14:dxf>
          </x14:cfRule>
          <x14:cfRule type="cellIs" priority="187" operator="equal" id="{C5581320-2BA1-475B-8E60-513F7DC7AE83}">
            <xm:f>Titel!$G$35</xm:f>
            <x14:dxf>
              <fill>
                <patternFill>
                  <bgColor rgb="FFFFA082"/>
                </patternFill>
              </fill>
            </x14:dxf>
          </x14:cfRule>
          <x14:cfRule type="cellIs" priority="186" operator="equal" id="{3E89FA64-9F9E-4F84-BD36-1BA334D14A94}">
            <xm:f>Titel!$H$35</xm:f>
            <x14:dxf>
              <fill>
                <patternFill>
                  <bgColor rgb="FFFF7171"/>
                </patternFill>
              </fill>
            </x14:dxf>
          </x14:cfRule>
          <xm:sqref>K69</xm:sqref>
        </x14:conditionalFormatting>
        <x14:conditionalFormatting xmlns:xm="http://schemas.microsoft.com/office/excel/2006/main">
          <x14:cfRule type="cellIs" priority="141" operator="equal" id="{0D342834-45AB-4CB2-9184-2C7911CF69F2}">
            <xm:f>Titel!$H$35</xm:f>
            <x14:dxf>
              <fill>
                <patternFill>
                  <bgColor rgb="FFFF7171"/>
                </patternFill>
              </fill>
            </x14:dxf>
          </x14:cfRule>
          <x14:cfRule type="cellIs" priority="142" operator="equal" id="{5228CCFA-9137-44C6-9D04-1B3397792444}">
            <xm:f>Titel!$G$35</xm:f>
            <x14:dxf>
              <fill>
                <patternFill>
                  <bgColor rgb="FFFFA082"/>
                </patternFill>
              </fill>
            </x14:dxf>
          </x14:cfRule>
          <x14:cfRule type="containsText" priority="145" operator="containsText" id="{CA2AE974-0280-4E87-8883-1BB73C3E744C}">
            <xm:f>NOT(ISERROR(SEARCH(Titel!$D$35,K73)))</xm:f>
            <xm:f>Titel!$D$35</xm:f>
            <x14:dxf>
              <fill>
                <patternFill>
                  <bgColor theme="0" tint="-0.34998626667073579"/>
                </patternFill>
              </fill>
            </x14:dxf>
          </x14:cfRule>
          <x14:cfRule type="cellIs" priority="144" operator="equal" id="{4522EB83-D8A4-477F-B667-8EC394E768A9}">
            <xm:f>Titel!$E$35</xm:f>
            <x14:dxf>
              <fill>
                <patternFill>
                  <bgColor rgb="FFFFFF99"/>
                </patternFill>
              </fill>
            </x14:dxf>
          </x14:cfRule>
          <x14:cfRule type="cellIs" priority="143" operator="equal" id="{167C9FFD-C7B9-4A53-AD0A-53B5C8E46739}">
            <xm:f>Titel!$F$35</xm:f>
            <x14:dxf>
              <fill>
                <patternFill>
                  <bgColor rgb="FFFFD299"/>
                </patternFill>
              </fill>
            </x14:dxf>
          </x14:cfRule>
          <xm:sqref>K73</xm:sqref>
        </x14:conditionalFormatting>
        <x14:conditionalFormatting xmlns:xm="http://schemas.microsoft.com/office/excel/2006/main">
          <x14:cfRule type="cellIs" priority="106" operator="equal" id="{D2F54786-02C0-4692-B292-3B0C253B779A}">
            <xm:f>Titel!$H$35</xm:f>
            <x14:dxf>
              <fill>
                <patternFill>
                  <bgColor rgb="FFFF7171"/>
                </patternFill>
              </fill>
            </x14:dxf>
          </x14:cfRule>
          <x14:cfRule type="containsText" priority="110" operator="containsText" id="{540A929A-FDA5-4A99-9F0C-97F6394111C8}">
            <xm:f>NOT(ISERROR(SEARCH(Titel!$D$35,K105)))</xm:f>
            <xm:f>Titel!$D$35</xm:f>
            <x14:dxf>
              <fill>
                <patternFill>
                  <bgColor theme="0" tint="-0.34998626667073579"/>
                </patternFill>
              </fill>
            </x14:dxf>
          </x14:cfRule>
          <x14:cfRule type="cellIs" priority="109" operator="equal" id="{CEABE256-2CB2-4409-A022-9761F51B76AC}">
            <xm:f>Titel!$E$35</xm:f>
            <x14:dxf>
              <fill>
                <patternFill>
                  <bgColor rgb="FFFFFF99"/>
                </patternFill>
              </fill>
            </x14:dxf>
          </x14:cfRule>
          <x14:cfRule type="cellIs" priority="107" operator="equal" id="{555A77B5-CFD4-4049-B471-77E1D92DE43E}">
            <xm:f>Titel!$G$35</xm:f>
            <x14:dxf>
              <fill>
                <patternFill>
                  <bgColor rgb="FFFFA082"/>
                </patternFill>
              </fill>
            </x14:dxf>
          </x14:cfRule>
          <x14:cfRule type="cellIs" priority="108" operator="equal" id="{0822AA80-2D80-4F77-9E65-3F192379576C}">
            <xm:f>Titel!$F$35</xm:f>
            <x14:dxf>
              <fill>
                <patternFill>
                  <bgColor rgb="FFFFD299"/>
                </patternFill>
              </fill>
            </x14:dxf>
          </x14:cfRule>
          <xm:sqref>K105:K116</xm:sqref>
        </x14:conditionalFormatting>
        <x14:conditionalFormatting xmlns:xm="http://schemas.microsoft.com/office/excel/2006/main">
          <x14:cfRule type="containsText" priority="25" operator="containsText" id="{2F811DD8-AC69-4815-A99A-2209458B4C9D}">
            <xm:f>NOT(ISERROR(SEARCH(Titel!$D$35,K118)))</xm:f>
            <xm:f>Titel!$D$35</xm:f>
            <x14:dxf>
              <fill>
                <patternFill>
                  <bgColor theme="0" tint="-0.34998626667073579"/>
                </patternFill>
              </fill>
            </x14:dxf>
          </x14:cfRule>
          <x14:cfRule type="cellIs" priority="23" operator="equal" id="{AF88849A-AD20-43FA-BDE4-5220D98AE98A}">
            <xm:f>Titel!$F$35</xm:f>
            <x14:dxf>
              <fill>
                <patternFill>
                  <bgColor rgb="FFFFD299"/>
                </patternFill>
              </fill>
            </x14:dxf>
          </x14:cfRule>
          <x14:cfRule type="cellIs" priority="22" operator="equal" id="{CE3DCBF6-D8DA-446F-B97B-37EE011CEBB5}">
            <xm:f>Titel!$G$35</xm:f>
            <x14:dxf>
              <fill>
                <patternFill>
                  <bgColor rgb="FFFFA082"/>
                </patternFill>
              </fill>
            </x14:dxf>
          </x14:cfRule>
          <x14:cfRule type="cellIs" priority="21" operator="equal" id="{0A859B5C-90CC-4BAC-B10B-CEA70A8005F7}">
            <xm:f>Titel!$H$35</xm:f>
            <x14:dxf>
              <fill>
                <patternFill>
                  <bgColor rgb="FFFF7171"/>
                </patternFill>
              </fill>
            </x14:dxf>
          </x14:cfRule>
          <x14:cfRule type="cellIs" priority="24" operator="equal" id="{89D26B67-4FE4-4DD4-AA4D-FE2CC3CD6646}">
            <xm:f>Titel!$E$35</xm:f>
            <x14:dxf>
              <fill>
                <patternFill>
                  <bgColor rgb="FFFFFF99"/>
                </patternFill>
              </fill>
            </x14:dxf>
          </x14:cfRule>
          <xm:sqref>K118:K125</xm:sqref>
        </x14:conditionalFormatting>
        <x14:conditionalFormatting xmlns:xm="http://schemas.microsoft.com/office/excel/2006/main">
          <x14:cfRule type="cellIs" priority="16" operator="equal" id="{83617306-0609-4039-BFAE-8E35125343C6}">
            <xm:f>Titel!$H$35</xm:f>
            <x14:dxf>
              <fill>
                <patternFill>
                  <bgColor rgb="FFFF7171"/>
                </patternFill>
              </fill>
            </x14:dxf>
          </x14:cfRule>
          <x14:cfRule type="cellIs" priority="17" operator="equal" id="{2BFC2A9E-4DAE-4F06-B64B-4AB2EF9FF99F}">
            <xm:f>Titel!$G$35</xm:f>
            <x14:dxf>
              <fill>
                <patternFill>
                  <bgColor rgb="FFFFA082"/>
                </patternFill>
              </fill>
            </x14:dxf>
          </x14:cfRule>
          <x14:cfRule type="cellIs" priority="18" operator="equal" id="{FDC8CB48-4449-44E2-8A49-EF6198566FB2}">
            <xm:f>Titel!$F$35</xm:f>
            <x14:dxf>
              <fill>
                <patternFill>
                  <bgColor rgb="FFFFD299"/>
                </patternFill>
              </fill>
            </x14:dxf>
          </x14:cfRule>
          <x14:cfRule type="cellIs" priority="19" operator="equal" id="{FD185341-6ABA-448A-8125-3C05A272D50D}">
            <xm:f>Titel!$E$35</xm:f>
            <x14:dxf>
              <fill>
                <patternFill>
                  <bgColor rgb="FFFFFF99"/>
                </patternFill>
              </fill>
            </x14:dxf>
          </x14:cfRule>
          <x14:cfRule type="containsText" priority="20" operator="containsText" id="{ADD6AB58-AB8E-42B1-BF99-353973F1B858}">
            <xm:f>NOT(ISERROR(SEARCH(Titel!$D$35,K128)))</xm:f>
            <xm:f>Titel!$D$35</xm:f>
            <x14:dxf>
              <fill>
                <patternFill>
                  <bgColor theme="0" tint="-0.34998626667073579"/>
                </patternFill>
              </fill>
            </x14:dxf>
          </x14:cfRule>
          <xm:sqref>K128:K130</xm:sqref>
        </x14:conditionalFormatting>
        <x14:conditionalFormatting xmlns:xm="http://schemas.microsoft.com/office/excel/2006/main">
          <x14:cfRule type="cellIs" priority="238" operator="equal" id="{BDD852B5-4C26-4EB3-8FA0-175264FFE1C6}">
            <xm:f>Titel!$F$35</xm:f>
            <x14:dxf>
              <fill>
                <patternFill>
                  <bgColor rgb="FFFFD299"/>
                </patternFill>
              </fill>
            </x14:dxf>
          </x14:cfRule>
          <x14:cfRule type="cellIs" priority="236" operator="equal" id="{BCDF23CD-689D-4EA1-96A3-5CED0978EA25}">
            <xm:f>Titel!$H$35</xm:f>
            <x14:dxf>
              <fill>
                <patternFill>
                  <bgColor rgb="FFFF7171"/>
                </patternFill>
              </fill>
            </x14:dxf>
          </x14:cfRule>
          <x14:cfRule type="cellIs" priority="239" operator="equal" id="{ACBFD7DD-4CA1-488A-A44D-F98182E32159}">
            <xm:f>Titel!$E$35</xm:f>
            <x14:dxf>
              <fill>
                <patternFill>
                  <bgColor rgb="FFFFFF99"/>
                </patternFill>
              </fill>
            </x14:dxf>
          </x14:cfRule>
          <x14:cfRule type="containsText" priority="240" operator="containsText" id="{C7CD4351-921F-45CD-B2C9-A23450AA840D}">
            <xm:f>NOT(ISERROR(SEARCH(Titel!$D$35,K133)))</xm:f>
            <xm:f>Titel!$D$35</xm:f>
            <x14:dxf>
              <fill>
                <patternFill>
                  <bgColor theme="0" tint="-0.34998626667073579"/>
                </patternFill>
              </fill>
            </x14:dxf>
          </x14:cfRule>
          <x14:cfRule type="cellIs" priority="237" operator="equal" id="{5C092226-48D0-442D-9445-1F8293633098}">
            <xm:f>Titel!$G$35</xm:f>
            <x14:dxf>
              <fill>
                <patternFill>
                  <bgColor rgb="FFFFA082"/>
                </patternFill>
              </fill>
            </x14:dxf>
          </x14:cfRule>
          <xm:sqref>K133</xm:sqref>
        </x14:conditionalFormatting>
        <x14:conditionalFormatting xmlns:xm="http://schemas.microsoft.com/office/excel/2006/main">
          <x14:cfRule type="containsText" priority="781" operator="containsText" id="{8A0CE38E-9A47-4F04-83E9-7E187ACC721D}">
            <xm:f>NOT(ISERROR(SEARCH(Titel!$D$35,Q167)))</xm:f>
            <xm:f>Titel!$D$35</xm:f>
            <x14:dxf>
              <fill>
                <patternFill>
                  <bgColor theme="0" tint="-0.34998626667073579"/>
                </patternFill>
              </fill>
            </x14:dxf>
          </x14:cfRule>
          <x14:cfRule type="cellIs" priority="780" operator="equal" id="{8B44DAA9-C032-4FD8-B7CB-C786267F1AD7}">
            <xm:f>Titel!$E$35</xm:f>
            <x14:dxf>
              <fill>
                <patternFill>
                  <bgColor rgb="FFFFFF99"/>
                </patternFill>
              </fill>
            </x14:dxf>
          </x14:cfRule>
          <x14:cfRule type="cellIs" priority="779" operator="equal" id="{5F83E50E-BCE0-4B17-9B4D-3F355289A4C3}">
            <xm:f>Titel!$F$35</xm:f>
            <x14:dxf>
              <fill>
                <patternFill>
                  <bgColor rgb="FFFFD299"/>
                </patternFill>
              </fill>
            </x14:dxf>
          </x14:cfRule>
          <x14:cfRule type="cellIs" priority="778" operator="equal" id="{757868B5-8E5A-4277-9832-CE767420FEEB}">
            <xm:f>Titel!$G$35</xm:f>
            <x14:dxf>
              <fill>
                <patternFill>
                  <bgColor rgb="FFFFA082"/>
                </patternFill>
              </fill>
            </x14:dxf>
          </x14:cfRule>
          <x14:cfRule type="cellIs" priority="777" operator="equal" id="{9D313D2D-8FC6-4ECC-B501-E70BBA583482}">
            <xm:f>Titel!$H$35</xm:f>
            <x14:dxf>
              <fill>
                <patternFill>
                  <bgColor rgb="FFFF7171"/>
                </patternFill>
              </fill>
            </x14:dxf>
          </x14:cfRule>
          <xm:sqref>Q167:R1048576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FAC6CAFB5D3964280BB0FCE44739F47" ma:contentTypeVersion="16" ma:contentTypeDescription="Ein neues Dokument erstellen." ma:contentTypeScope="" ma:versionID="36d5378795eee809a22355b5839b5453">
  <xsd:schema xmlns:xsd="http://www.w3.org/2001/XMLSchema" xmlns:xs="http://www.w3.org/2001/XMLSchema" xmlns:p="http://schemas.microsoft.com/office/2006/metadata/properties" xmlns:ns2="92ff8f27-1596-4e85-80bd-1abda3415fcb" xmlns:ns3="6f2b157e-de0a-465f-93c2-748515672dee" targetNamespace="http://schemas.microsoft.com/office/2006/metadata/properties" ma:root="true" ma:fieldsID="e728de7eb8fbc5ec42c2098e542dbbd6" ns2:_="" ns3:_="">
    <xsd:import namespace="92ff8f27-1596-4e85-80bd-1abda3415fcb"/>
    <xsd:import namespace="6f2b157e-de0a-465f-93c2-748515672dee"/>
    <xsd:element name="properties">
      <xsd:complexType>
        <xsd:sequence>
          <xsd:element name="documentManagement">
            <xsd:complexType>
              <xsd:all>
                <xsd:element ref="ns2:pa66b6154a914d319e2b823f2555bfd9" minOccurs="0"/>
                <xsd:element ref="ns2:TaxCatchAll" minOccurs="0"/>
                <xsd:element ref="ns2:p4274aa0bf164938bee0f75c0b5588f8" minOccurs="0"/>
                <xsd:element ref="ns2:c900797614ea4bffbc7bb2d8e028ba0f" minOccurs="0"/>
                <xsd:element ref="ns2:TaxKeywordTaxHTField" minOccurs="0"/>
                <xsd:element ref="ns2:i0f84bba906045b4af568ee102a52dcb" minOccurs="0"/>
                <xsd:element ref="ns2:RevIMDeletionDate" minOccurs="0"/>
                <xsd:element ref="ns2:RevIMEventDate" minOccurs="0"/>
                <xsd:element ref="ns2:RevIMComments" minOccurs="0"/>
                <xsd:element ref="ns2:RevIMDocumentOwner" minOccurs="0"/>
                <xsd:element ref="ns2:RevIMExtends" minOccurs="0"/>
                <xsd:element ref="ns3:lcf76f155ced4ddcb4097134ff3c332f" minOccurs="0"/>
                <xsd:element ref="ns3:MediaServiceObjectDetectorVersion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ff8f27-1596-4e85-80bd-1abda3415fcb" elementFormDefault="qualified">
    <xsd:import namespace="http://schemas.microsoft.com/office/2006/documentManagement/types"/>
    <xsd:import namespace="http://schemas.microsoft.com/office/infopath/2007/PartnerControls"/>
    <xsd:element name="pa66b6154a914d319e2b823f2555bfd9" ma:index="8" nillable="true" ma:displayName="Vertraulichkeitsstufe_0" ma:hidden="true" ma:internalName="pa66b6154a914d319e2b823f2555bfd9">
      <xsd:simpleType>
        <xsd:restriction base="dms:Note"/>
      </xsd:simpleType>
    </xsd:element>
    <xsd:element name="TaxCatchAll" ma:index="9" nillable="true" ma:displayName="Taxonomy Catch All Column" ma:hidden="true" ma:list="{6fdcc9c9-a441-4b06-9a9f-5a3f1afa4188}" ma:internalName="TaxCatchAll" ma:showField="CatchAllData" ma:web="92ff8f27-1596-4e85-80bd-1abda3415fcb">
      <xsd:complexType>
        <xsd:complexContent>
          <xsd:extension base="dms:MultiChoiceLookup">
            <xsd:sequence>
              <xsd:element name="Value" type="dms:Lookup" maxOccurs="unbounded" minOccurs="0" nillable="true"/>
            </xsd:sequence>
          </xsd:extension>
        </xsd:complexContent>
      </xsd:complexType>
    </xsd:element>
    <xsd:element name="p4274aa0bf164938bee0f75c0b5588f8" ma:index="10" nillable="true" ma:displayName="Datenschutz-relevant_0" ma:hidden="true" ma:internalName="p4274aa0bf164938bee0f75c0b5588f8">
      <xsd:simpleType>
        <xsd:restriction base="dms:Note"/>
      </xsd:simpleType>
    </xsd:element>
    <xsd:element name="c900797614ea4bffbc7bb2d8e028ba0f" ma:index="11" nillable="true" ma:displayName="Sprache_0" ma:hidden="true" ma:internalName="c900797614ea4bffbc7bb2d8e028ba0f">
      <xsd:simpleType>
        <xsd:restriction base="dms:Note"/>
      </xsd:simpleType>
    </xsd:element>
    <xsd:element name="TaxKeywordTaxHTField" ma:index="12" nillable="true" ma:displayName="TaxKeywordTaxHTField" ma:hidden="true" ma:internalName="TaxKeywordTaxHTField">
      <xsd:simpleType>
        <xsd:restriction base="dms:Note"/>
      </xsd:simpleType>
    </xsd:element>
    <xsd:element name="i0f84bba906045b4af568ee102a52dcb" ma:index="14" ma:taxonomy="true" ma:internalName="i0f84bba906045b4af568ee102a52dcb" ma:taxonomyFieldName="RevIMBCS" ma:displayName="KSU Klasse" ma:readOnly="true" ma:default="4;#0.2 Working documents|860f14b0-beae-495c-93e3-3187f714d4fc" ma:fieldId="{20f84bba-9060-45b4-af56-8ee102a52dcb}" ma:sspId="11f93a7e-e8d8-45f1-8a13-907dadde1127" ma:termSetId="b795bf2d-8abe-423c-bac8-6c6bed63d3a6" ma:anchorId="00000000-0000-0000-0000-000000000000" ma:open="false" ma:isKeyword="false">
      <xsd:complexType>
        <xsd:sequence>
          <xsd:element ref="pc:Terms" minOccurs="0" maxOccurs="1"/>
        </xsd:sequence>
      </xsd:complexType>
    </xsd:element>
    <xsd:element name="RevIMDeletionDate" ma:index="15" nillable="true" ma:displayName="Löschdatum" ma:description="Deletion Date" ma:format="DateOnly" ma:indexed="true" ma:internalName="RevIMDeletionDate" ma:readOnly="true">
      <xsd:simpleType>
        <xsd:restriction base="dms:DateTime"/>
      </xsd:simpleType>
    </xsd:element>
    <xsd:element name="RevIMEventDate" ma:index="16" nillable="true" ma:displayName="Ereignisdatum" ma:description="Event Date" ma:format="DateOnly" ma:internalName="RevIMEventDate" ma:readOnly="true">
      <xsd:simpleType>
        <xsd:restriction base="dms:DateTime"/>
      </xsd:simpleType>
    </xsd:element>
    <xsd:element name="RevIMComments" ma:index="17" nillable="true" ma:displayName="Ereigniskommentar" ma:internalName="RevIMComments" ma:readOnly="true">
      <xsd:simpleType>
        <xsd:restriction base="dms:Note">
          <xsd:maxLength value="255"/>
        </xsd:restriction>
      </xsd:simpleType>
    </xsd:element>
    <xsd:element name="RevIMDocumentOwner" ma:index="18" nillable="true" ma:displayName="Unterlagenverantwortlicher" ma:indexed="true" ma:list="UserInfo" ma:internalName="RevIM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MExtends" ma:index="19" nillable="true" ma:displayName="RevIMExtends" ma:hidden="true" ma:internalName="RevIMExtend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2b157e-de0a-465f-93c2-748515672dee" elementFormDefault="qualified">
    <xsd:import namespace="http://schemas.microsoft.com/office/2006/documentManagement/types"/>
    <xsd:import namespace="http://schemas.microsoft.com/office/infopath/2007/PartnerControls"/>
    <xsd:element name="lcf76f155ced4ddcb4097134ff3c332f" ma:index="20" nillable="true" ma:displayName="Bildmarkierungen_0" ma:hidden="true" ma:internalName="lcf76f155ced4ddcb4097134ff3c332f">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2b157e-de0a-465f-93c2-748515672dee" xsi:nil="true"/>
    <TaxCatchAll xmlns="92ff8f27-1596-4e85-80bd-1abda3415fcb">
      <Value>4</Value>
      <Value>3</Value>
      <Value>2</Value>
      <Value>1</Value>
    </TaxCatchAll>
    <RevIMDocumentOwner xmlns="92ff8f27-1596-4e85-80bd-1abda3415fcb">
      <UserInfo>
        <DisplayName/>
        <AccountId xsi:nil="true"/>
        <AccountType/>
      </UserInfo>
    </RevIMDocumentOwner>
    <TaxKeywordTaxHTField xmlns="92ff8f27-1596-4e85-80bd-1abda3415fcb" xsi:nil="true"/>
    <c900797614ea4bffbc7bb2d8e028ba0f xmlns="92ff8f27-1596-4e85-80bd-1abda3415fcb">German|45125bcc-1065-44b8-8847-ee35a3e568d7</c900797614ea4bffbc7bb2d8e028ba0f>
    <p4274aa0bf164938bee0f75c0b5588f8 xmlns="92ff8f27-1596-4e85-80bd-1abda3415fcb">No|2b7c6b10-558d-42b7-99ef-03cc27f723f8</p4274aa0bf164938bee0f75c0b5588f8>
    <pa66b6154a914d319e2b823f2555bfd9 xmlns="92ff8f27-1596-4e85-80bd-1abda3415fcb">Internal|12f412c2-1b99-4d63-a164-da75043a583d</pa66b6154a914d319e2b823f2555bfd9>
    <i0f84bba906045b4af568ee102a52dcb xmlns="92ff8f27-1596-4e85-80bd-1abda3415fcb">
      <Terms xmlns="http://schemas.microsoft.com/office/infopath/2007/PartnerControls">
        <TermInfo xmlns="http://schemas.microsoft.com/office/infopath/2007/PartnerControls">
          <TermName xmlns="http://schemas.microsoft.com/office/infopath/2007/PartnerControls">0.2 Working documents</TermName>
          <TermId xmlns="http://schemas.microsoft.com/office/infopath/2007/PartnerControls">860f14b0-beae-495c-93e3-3187f714d4fc</TermId>
        </TermInfo>
      </Terms>
    </i0f84bba906045b4af568ee102a52dcb>
    <RevIMComments xmlns="92ff8f27-1596-4e85-80bd-1abda3415fcb" xsi:nil="true"/>
    <RevIMDeletionDate xmlns="92ff8f27-1596-4e85-80bd-1abda3415fcb">2029-06-25T12:07:31+00:00</RevIMDeletionDate>
    <RevIMExtends xmlns="92ff8f27-1596-4e85-80bd-1abda3415fcb">{"Locked":null,"LockedBy":null,"UnLocked":null,"UnLockedBy":null,"KSUClass":"860f14b0-beae-495c-93e3-3187f714d4fc","Classified":"2025-06-25T19:30:16.325Z","Reclassified":null,"ReclassifiedBy":null,"EDReclassified":null,"EDReclassifiedBy":null,"EventCreated":null,"EventModified":null,"EventDeleted":null,"EventCreatedBy":null,"EventModifiedBy":null,"EventDeletedBy":null,"Moved":null,"MovedBy":null,"MovedFrom":null}</RevIMExtends>
    <RevIMEventDate xmlns="92ff8f27-1596-4e85-80bd-1abda3415fc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6DF871-8AD7-43F9-8E11-99AAEE3E9AE5}"/>
</file>

<file path=customXml/itemProps2.xml><?xml version="1.0" encoding="utf-8"?>
<ds:datastoreItem xmlns:ds="http://schemas.openxmlformats.org/officeDocument/2006/customXml" ds:itemID="{C496D094-5275-4E44-AB50-AF722FD73002}">
  <ds:schemaRefs>
    <ds:schemaRef ds:uri="http://schemas.microsoft.com/office/2006/metadata/properties"/>
    <ds:schemaRef ds:uri="http://schemas.microsoft.com/office/infopath/2007/PartnerControls"/>
    <ds:schemaRef ds:uri="5379d3d4-f835-4dd0-8d01-6c51758baba9"/>
    <ds:schemaRef ds:uri="ce1d3fd1-fda5-481a-8542-207e77e5e44f"/>
  </ds:schemaRefs>
</ds:datastoreItem>
</file>

<file path=customXml/itemProps3.xml><?xml version="1.0" encoding="utf-8"?>
<ds:datastoreItem xmlns:ds="http://schemas.openxmlformats.org/officeDocument/2006/customXml" ds:itemID="{B41B2628-88E8-4BF2-AEB1-33B512077E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Guide</vt:lpstr>
      <vt:lpstr>Titel</vt:lpstr>
      <vt:lpstr>Bewertung - Assessment</vt:lpstr>
      <vt:lpstr>ASSESSMENT_1</vt:lpstr>
      <vt:lpstr>ASSESSMENT_2</vt:lpstr>
      <vt:lpstr>ASSESSMENT_3</vt:lpstr>
      <vt:lpstr>'Bewertung - Assessment'!Print_Area</vt:lpstr>
      <vt:lpstr>'Bewertung - Assessment'!Print_Titles</vt:lpstr>
      <vt:lpstr>RISK_ASSESSMENT</vt:lpstr>
    </vt:vector>
  </TitlesOfParts>
  <Manager/>
  <Company>Berner &amp; Mattner Systemtechnik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Schmidt, Michael</dc:creator>
  <cp:keywords/>
  <dc:description/>
  <cp:lastModifiedBy>Priteshkumar Gohil</cp:lastModifiedBy>
  <cp:revision/>
  <dcterms:created xsi:type="dcterms:W3CDTF">2016-10-23T17:49:13Z</dcterms:created>
  <dcterms:modified xsi:type="dcterms:W3CDTF">2025-06-24T14:50:59Z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0x010100BFAC6CAFB5D3964280BB0FCE44739F47</vt:lpwstr>
  </property>
  <property fmtid="{D5CDD505-2E9C-101B-9397-08002B2CF9AE}" pid="3" name="MediaServiceImageTags">
    <vt:lpwstr/>
  </property>
  <property fmtid="{D5CDD505-2E9C-101B-9397-08002B2CF9AE}" pid="4" name="MSIP_Label_4a508f1f-9d44-42cd-8a20-925c1afed930_Enabled">
    <vt:lpwstr>true</vt:lpwstr>
  </property>
  <property fmtid="{D5CDD505-2E9C-101B-9397-08002B2CF9AE}" pid="5" name="MSIP_Label_4a508f1f-9d44-42cd-8a20-925c1afed930_SetDate">
    <vt:lpwstr>2024-08-16T10:21:59Z</vt:lpwstr>
  </property>
  <property fmtid="{D5CDD505-2E9C-101B-9397-08002B2CF9AE}" pid="6" name="MSIP_Label_4a508f1f-9d44-42cd-8a20-925c1afed930_Method">
    <vt:lpwstr>Standard</vt:lpwstr>
  </property>
  <property fmtid="{D5CDD505-2E9C-101B-9397-08002B2CF9AE}" pid="7" name="MSIP_Label_4a508f1f-9d44-42cd-8a20-925c1afed930_Name">
    <vt:lpwstr>Expleo Public</vt:lpwstr>
  </property>
  <property fmtid="{D5CDD505-2E9C-101B-9397-08002B2CF9AE}" pid="8" name="MSIP_Label_4a508f1f-9d44-42cd-8a20-925c1afed930_SiteId">
    <vt:lpwstr>3b0e7247-e0d5-44bf-8ed1-d01b18d16ca2</vt:lpwstr>
  </property>
  <property fmtid="{D5CDD505-2E9C-101B-9397-08002B2CF9AE}" pid="9" name="MSIP_Label_4a508f1f-9d44-42cd-8a20-925c1afed930_ActionId">
    <vt:lpwstr>78fe4632-1ce2-40d8-8e17-f851cdaf4462</vt:lpwstr>
  </property>
  <property fmtid="{D5CDD505-2E9C-101B-9397-08002B2CF9AE}" pid="10" name="MSIP_Label_4a508f1f-9d44-42cd-8a20-925c1afed930_ContentBits">
    <vt:lpwstr>0</vt:lpwstr>
  </property>
  <property fmtid="{D5CDD505-2E9C-101B-9397-08002B2CF9AE}" pid="11" name="PdmsDatenschutzRelevant">
    <vt:lpwstr>3;#No|2b7c6b10-558d-42b7-99ef-03cc27f723f8</vt:lpwstr>
  </property>
  <property fmtid="{D5CDD505-2E9C-101B-9397-08002B2CF9AE}" pid="12" name="TaxKeyword">
    <vt:lpwstr/>
  </property>
  <property fmtid="{D5CDD505-2E9C-101B-9397-08002B2CF9AE}" pid="13" name="PdmsVertraulichkeitsstufe">
    <vt:lpwstr>1;#Internal|12f412c2-1b99-4d63-a164-da75043a583d</vt:lpwstr>
  </property>
  <property fmtid="{D5CDD505-2E9C-101B-9397-08002B2CF9AE}" pid="14" name="PdmsSprache">
    <vt:lpwstr>2;#German|45125bcc-1065-44b8-8847-ee35a3e568d7</vt:lpwstr>
  </property>
  <property fmtid="{D5CDD505-2E9C-101B-9397-08002B2CF9AE}" pid="15" name="RevIMBCS">
    <vt:lpwstr>4;#0.2 Working documents|860f14b0-beae-495c-93e3-3187f714d4fc</vt:lpwstr>
  </property>
</Properties>
</file>